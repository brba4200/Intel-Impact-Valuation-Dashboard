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ennanbaker/Desktop/Fall 2026/MSBC 5710/Head to Head Documents/"/>
    </mc:Choice>
  </mc:AlternateContent>
  <xr:revisionPtr revIDLastSave="0" documentId="8_{E501CE9A-4F7B-F54F-B69B-2E849762D122}" xr6:coauthVersionLast="47" xr6:coauthVersionMax="47" xr10:uidLastSave="{00000000-0000-0000-0000-000000000000}"/>
  <bookViews>
    <workbookView xWindow="1740" yWindow="1940" windowWidth="29260" windowHeight="13660" tabRatio="500" xr2:uid="{00000000-000D-0000-FFFF-FFFF00000000}"/>
  </bookViews>
  <sheets>
    <sheet name="Read Me" sheetId="1" r:id="rId1"/>
    <sheet name="Carbon" sheetId="2" r:id="rId2"/>
    <sheet name="Water" sheetId="3" r:id="rId3"/>
    <sheet name="OHS" sheetId="4" r:id="rId4"/>
    <sheet name="TSMC Coefficients" sheetId="5" r:id="rId5"/>
    <sheet name="Intel Monetization" sheetId="6" r:id="rId6"/>
    <sheet name="TSMC &amp; Intel Trends" sheetId="7" r:id="rId7"/>
    <sheet name="Intel Water by Site" sheetId="8" r:id="rId8"/>
    <sheet name="Intel GHG by Site" sheetId="9" r:id="rId9"/>
    <sheet name="Data Gap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3" i="10" l="1"/>
  <c r="C22" i="10"/>
  <c r="C21" i="10"/>
  <c r="C20" i="10"/>
  <c r="C27" i="9"/>
  <c r="I25" i="9"/>
  <c r="I27" i="9" s="1"/>
  <c r="H25" i="9"/>
  <c r="H27" i="9" s="1"/>
  <c r="G25" i="9"/>
  <c r="G27" i="9" s="1"/>
  <c r="F25" i="9"/>
  <c r="F27" i="9" s="1"/>
  <c r="E25" i="9"/>
  <c r="E27" i="9" s="1"/>
  <c r="D25" i="9"/>
  <c r="D27" i="9" s="1"/>
  <c r="C25" i="9"/>
  <c r="K24" i="9"/>
  <c r="L24" i="9" s="1"/>
  <c r="K23" i="9"/>
  <c r="L23" i="9" s="1"/>
  <c r="K22" i="9"/>
  <c r="L22" i="9" s="1"/>
  <c r="L21" i="9"/>
  <c r="K21" i="9"/>
  <c r="K20" i="9"/>
  <c r="L20" i="9" s="1"/>
  <c r="K19" i="9"/>
  <c r="L19" i="9" s="1"/>
  <c r="K18" i="9"/>
  <c r="L18" i="9" s="1"/>
  <c r="L17" i="9"/>
  <c r="K17" i="9"/>
  <c r="K16" i="9"/>
  <c r="L16" i="9" s="1"/>
  <c r="K15" i="9"/>
  <c r="L15" i="9" s="1"/>
  <c r="K14" i="9"/>
  <c r="L14" i="9" s="1"/>
  <c r="L13" i="9"/>
  <c r="K13" i="9"/>
  <c r="K12" i="9"/>
  <c r="L12" i="9" s="1"/>
  <c r="K11" i="9"/>
  <c r="L11" i="9" s="1"/>
  <c r="K10" i="9"/>
  <c r="L10" i="9" s="1"/>
  <c r="L9" i="9"/>
  <c r="K9" i="9"/>
  <c r="K8" i="9"/>
  <c r="L8" i="9" s="1"/>
  <c r="K7" i="9"/>
  <c r="L7" i="9" s="1"/>
  <c r="K6" i="9"/>
  <c r="L6" i="9" s="1"/>
  <c r="L5" i="9"/>
  <c r="K5" i="9"/>
  <c r="D29" i="8"/>
  <c r="E29" i="8" s="1"/>
  <c r="H27" i="8"/>
  <c r="G27" i="8"/>
  <c r="F27" i="8"/>
  <c r="E27" i="8"/>
  <c r="I25" i="8"/>
  <c r="I27" i="8" s="1"/>
  <c r="H25" i="8"/>
  <c r="G25" i="8"/>
  <c r="F25" i="8"/>
  <c r="E25" i="8"/>
  <c r="D25" i="8"/>
  <c r="D27" i="8" s="1"/>
  <c r="F31" i="7"/>
  <c r="E31" i="7"/>
  <c r="D31" i="7"/>
  <c r="C31" i="7"/>
  <c r="B31" i="7"/>
  <c r="G38" i="6"/>
  <c r="F38" i="6"/>
  <c r="H37" i="6"/>
  <c r="I37" i="6" s="1"/>
  <c r="I36" i="6"/>
  <c r="H36" i="6"/>
  <c r="H35" i="6"/>
  <c r="H38" i="6" s="1"/>
  <c r="C28" i="6"/>
  <c r="C31" i="6" s="1"/>
  <c r="C27" i="6"/>
  <c r="G21" i="6"/>
  <c r="F21" i="6"/>
  <c r="H21" i="6" s="1"/>
  <c r="I21" i="6" s="1"/>
  <c r="G20" i="6"/>
  <c r="H20" i="6" s="1"/>
  <c r="I20" i="6" s="1"/>
  <c r="F20" i="6"/>
  <c r="F19" i="6"/>
  <c r="G18" i="6"/>
  <c r="H18" i="6" s="1"/>
  <c r="I18" i="6" s="1"/>
  <c r="F18" i="6"/>
  <c r="G17" i="6"/>
  <c r="F16" i="6"/>
  <c r="F15" i="6"/>
  <c r="F14" i="6"/>
  <c r="G13" i="6"/>
  <c r="F13" i="6"/>
  <c r="H13" i="6" s="1"/>
  <c r="I13" i="6" s="1"/>
  <c r="F12" i="6"/>
  <c r="G11" i="6"/>
  <c r="F11" i="6"/>
  <c r="H11" i="6" s="1"/>
  <c r="H10" i="6"/>
  <c r="I10" i="6" s="1"/>
  <c r="G10" i="6"/>
  <c r="F10" i="6"/>
  <c r="G9" i="6"/>
  <c r="F9" i="6"/>
  <c r="H9" i="6" s="1"/>
  <c r="I9" i="6" s="1"/>
  <c r="F8" i="6"/>
  <c r="F7" i="6"/>
  <c r="H7" i="6" s="1"/>
  <c r="I7" i="6" s="1"/>
  <c r="H6" i="6"/>
  <c r="I6" i="6" s="1"/>
  <c r="G6" i="6"/>
  <c r="F6" i="6"/>
  <c r="G5" i="6"/>
  <c r="F5" i="6"/>
  <c r="H5" i="6" s="1"/>
  <c r="E32" i="5"/>
  <c r="C29" i="6" s="1"/>
  <c r="C30" i="6" s="1"/>
  <c r="C17" i="6" s="1"/>
  <c r="F17" i="6" s="1"/>
  <c r="H17" i="6" s="1"/>
  <c r="F31" i="5"/>
  <c r="E31" i="5"/>
  <c r="E30" i="5"/>
  <c r="F30" i="5" s="1"/>
  <c r="E29" i="5"/>
  <c r="G19" i="6" s="1"/>
  <c r="E28" i="5"/>
  <c r="F28" i="5" s="1"/>
  <c r="F27" i="5"/>
  <c r="E27" i="5"/>
  <c r="E26" i="5"/>
  <c r="F26" i="5" s="1"/>
  <c r="E25" i="5"/>
  <c r="G16" i="6" s="1"/>
  <c r="H16" i="6" s="1"/>
  <c r="I16" i="6" s="1"/>
  <c r="E24" i="5"/>
  <c r="G14" i="6" s="1"/>
  <c r="H14" i="6" s="1"/>
  <c r="I14" i="6" s="1"/>
  <c r="F23" i="5"/>
  <c r="E23" i="5"/>
  <c r="E22" i="5"/>
  <c r="G12" i="6" s="1"/>
  <c r="H12" i="6" s="1"/>
  <c r="I12" i="6" s="1"/>
  <c r="E21" i="5"/>
  <c r="G8" i="6" s="1"/>
  <c r="H8" i="6" s="1"/>
  <c r="I8" i="6" s="1"/>
  <c r="E20" i="5"/>
  <c r="G7" i="6" s="1"/>
  <c r="F19" i="5"/>
  <c r="E19" i="5"/>
  <c r="F12" i="5"/>
  <c r="F11" i="5"/>
  <c r="F10" i="5"/>
  <c r="B11" i="4"/>
  <c r="I11" i="6" l="1"/>
  <c r="B36" i="6"/>
  <c r="C36" i="6"/>
  <c r="H15" i="6"/>
  <c r="I15" i="6" s="1"/>
  <c r="B37" i="6"/>
  <c r="I17" i="6"/>
  <c r="C37" i="6"/>
  <c r="H19" i="6"/>
  <c r="I19" i="6" s="1"/>
  <c r="L25" i="9"/>
  <c r="I5" i="6"/>
  <c r="B35" i="6"/>
  <c r="C35" i="6"/>
  <c r="K25" i="9"/>
  <c r="K27" i="9" s="1"/>
  <c r="I35" i="6"/>
  <c r="I38" i="6" s="1"/>
  <c r="F20" i="5"/>
  <c r="F24" i="5"/>
  <c r="G15" i="6"/>
  <c r="F21" i="5"/>
  <c r="F25" i="5"/>
  <c r="F29" i="5"/>
  <c r="F22" i="5"/>
  <c r="D32" i="7" l="1"/>
  <c r="K24" i="8"/>
  <c r="K16" i="8"/>
  <c r="K8" i="8"/>
  <c r="B32" i="7"/>
  <c r="K20" i="8"/>
  <c r="K12" i="8"/>
  <c r="F32" i="7"/>
  <c r="K19" i="8"/>
  <c r="K11" i="8"/>
  <c r="E32" i="7"/>
  <c r="K18" i="8"/>
  <c r="K10" i="8"/>
  <c r="K23" i="8"/>
  <c r="K15" i="8"/>
  <c r="K7" i="8"/>
  <c r="K22" i="8"/>
  <c r="K14" i="8"/>
  <c r="K6" i="8"/>
  <c r="K17" i="8"/>
  <c r="K9" i="8"/>
  <c r="C32" i="7"/>
  <c r="K21" i="8"/>
  <c r="K13" i="8"/>
  <c r="K5" i="8"/>
  <c r="C38" i="6"/>
  <c r="D37" i="6"/>
  <c r="D35" i="6"/>
  <c r="B38" i="6"/>
  <c r="D36" i="6"/>
  <c r="J36" i="6" l="1"/>
  <c r="E36" i="6"/>
  <c r="E35" i="6"/>
  <c r="D38" i="6"/>
  <c r="J38" i="6" s="1"/>
  <c r="J35" i="6"/>
  <c r="E37" i="6"/>
  <c r="J37" i="6"/>
  <c r="K25" i="8"/>
  <c r="E38"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9" authorId="0" shapeId="0" xr:uid="{00000000-0006-0000-0400-000001000000}">
      <text>
        <r>
          <rPr>
            <sz val="10"/>
            <rFont val="Arial"/>
            <family val="2"/>
          </rPr>
          <t>IVR pp. 25-26. Reproduces SCC ≈ NT$7,588/t, confirming the method.</t>
        </r>
      </text>
    </comment>
    <comment ref="E20" authorId="0" shapeId="0" xr:uid="{00000000-0006-0000-0400-000002000000}">
      <text>
        <r>
          <rPr>
            <sz val="10"/>
            <rFont val="Arial"/>
            <family val="2"/>
          </rPr>
          <t>IVR p. 49. Per bn kWh. Implied ≈NT$0.37/kWh ≈ 0.05 tCO2e/MWh at SCC: far below a grid emission factor. A discussion point.</t>
        </r>
      </text>
    </comment>
    <comment ref="E21" authorId="0" shapeId="0" xr:uid="{00000000-0006-0000-0400-000003000000}">
      <text>
        <r>
          <rPr>
            <sz val="10"/>
            <rFont val="Arial"/>
            <family val="2"/>
          </rPr>
          <t>IVR p. 49 &amp; p. 25. Implied ≈NT$0.36/kWh, close to the renewable rate, so TSMC appears to value cumulative savings.</t>
        </r>
      </text>
    </comment>
    <comment ref="E22" authorId="0" shapeId="0" xr:uid="{00000000-0006-0000-0400-000004000000}">
      <text>
        <r>
          <rPr>
            <sz val="10"/>
            <rFont val="Arial"/>
            <family val="2"/>
          </rPr>
          <t>IVR p. 27. TSMC actually uses stress-weighted DALYs + ecosystem loss; this is an average.</t>
        </r>
      </text>
    </comment>
    <comment ref="E23" authorId="0" shapeId="0" xr:uid="{00000000-0006-0000-0400-000005000000}">
      <text>
        <r>
          <rPr>
            <sz val="10"/>
            <rFont val="Arial"/>
            <family val="2"/>
          </rPr>
          <t>IVR p. 28.</t>
        </r>
      </text>
    </comment>
    <comment ref="E24" authorId="0" shapeId="0" xr:uid="{00000000-0006-0000-0400-000006000000}">
      <text>
        <r>
          <rPr>
            <sz val="10"/>
            <rFont val="Arial"/>
            <family val="2"/>
          </rPr>
          <t>IVR pp. 27, 49.</t>
        </r>
      </text>
    </comment>
    <comment ref="E25" authorId="0" shapeId="0" xr:uid="{00000000-0006-0000-0400-000007000000}">
      <text>
        <r>
          <rPr>
            <sz val="10"/>
            <rFont val="Arial"/>
            <family val="2"/>
          </rPr>
          <t>IVR pp. 27, 49.</t>
        </r>
      </text>
    </comment>
    <comment ref="E26" authorId="0" shapeId="0" xr:uid="{00000000-0006-0000-0400-000008000000}">
      <text>
        <r>
          <rPr>
            <sz val="10"/>
            <rFont val="Arial"/>
            <family val="2"/>
          </rPr>
          <t>IVR p. 39.</t>
        </r>
      </text>
    </comment>
    <comment ref="E27" authorId="0" shapeId="0" xr:uid="{00000000-0006-0000-0400-000009000000}">
      <text>
        <r>
          <rPr>
            <sz val="10"/>
            <rFont val="Arial"/>
            <family val="2"/>
          </rPr>
          <t>IVR p. 39.</t>
        </r>
      </text>
    </comment>
    <comment ref="E28" authorId="0" shapeId="0" xr:uid="{00000000-0006-0000-0400-00000A000000}">
      <text>
        <r>
          <rPr>
            <sz val="10"/>
            <rFont val="Arial"/>
            <family val="2"/>
          </rPr>
          <t>IVR p. 39 (48 injuries + 1 fatality).</t>
        </r>
      </text>
    </comment>
    <comment ref="E29" authorId="0" shapeId="0" xr:uid="{00000000-0006-0000-0400-00000B000000}">
      <text>
        <r>
          <rPr>
            <sz val="10"/>
            <rFont val="Arial"/>
            <family val="2"/>
          </rPr>
          <t>IVR p. 38. Human-capital approach (YPLL/WYPLL); reported separately from the NT$17m.</t>
        </r>
      </text>
    </comment>
    <comment ref="E30" authorId="0" shapeId="0" xr:uid="{00000000-0006-0000-0400-00000C000000}">
      <text>
        <r>
          <rPr>
            <sz val="10"/>
            <rFont val="Arial"/>
            <family val="2"/>
          </rPr>
          <t>IVR p. 39.</t>
        </r>
      </text>
    </comment>
    <comment ref="E31" authorId="0" shapeId="0" xr:uid="{00000000-0006-0000-0400-00000D000000}">
      <text>
        <r>
          <rPr>
            <sz val="10"/>
            <rFont val="Arial"/>
            <family val="2"/>
          </rPr>
          <t>IVR p. 39.</t>
        </r>
      </text>
    </comment>
    <comment ref="E32" authorId="0" shapeId="0" xr:uid="{00000000-0006-0000-0400-00000E000000}">
      <text>
        <r>
          <rPr>
            <sz val="10"/>
            <rFont val="Arial"/>
            <family val="2"/>
          </rPr>
          <t>Calculated as 636 / 58. Used to estimate Intel lost days.</t>
        </r>
      </text>
    </comment>
  </commentList>
</comments>
</file>

<file path=xl/sharedStrings.xml><?xml version="1.0" encoding="utf-8"?>
<sst xmlns="http://schemas.openxmlformats.org/spreadsheetml/2006/main" count="1037" uniqueCount="656">
  <si>
    <t>Assessing Intel's sustainability reporting with TSMC's impact-valuation method</t>
  </si>
  <si>
    <t>Friday integration workshop | Assessing Sustainability Performance | Built 2 Oct 2026</t>
  </si>
  <si>
    <t>Purpose</t>
  </si>
  <si>
    <t>Compare Intel's and TSMC's 2025 quantitative figures and qualitative actions for three impact factors (carbon, water, occupational health &amp; safety), then use TSMC's valuation coefficients to turn Intel's disclosed quantities into monetized impacts (NT$ and US$).</t>
  </si>
  <si>
    <t>IMPORTANT: page references</t>
  </si>
  <si>
    <t>The TSMC page numbers in the assignment (carbon pp. 25-26, water pp. 27-29, OHS pp. 38-39) match TSMC's separate 2025 *Sustainability Impact Valuation Report* (IVR), not the main 2025 Sustainability Report (where pp. 25-29 are stakeholder-communication pages and pp. 38-39 are R&amp;D/innovation). The IVR was downloaded from esg.tsmc.com and used here. Raw TSMC activity data (e.g., injury rates, water targets) come from the main report, cited by page.</t>
  </si>
  <si>
    <t>Documents used</t>
  </si>
  <si>
    <t>TSMC 2025 Sustainability Impact Valuation Report (IVR): pp. 25-29 (carbon, water), pp. 38-39 (OHS), p. 49 (Integrated P&amp;L), pp. 51-54 &amp; 57-59 (methodology and valuation coefficients).
TSMC 2025 Sustainability Report: p. 32 (impact valuation summary), p. 91 (climate targets), pp. 105-106 (water targets), pp. 177-178 (injury statistics).
Intel 2025-26 Corporate Responsibility Report: p. 23 (health &amp; safety), pp. 32-39 (climate, water, supply chain), p. 58 (performance data), pp. 60-61 (water inventory), p. 62 (GHG inventory).</t>
  </si>
  <si>
    <t>How the workbook is organized</t>
  </si>
  <si>
    <t>Carbon / Water / OHS = side-by-side comparison: Part A quantitative figures, Part B qualitative actions with assessment prompts.
TSMC Coefficients = TSMC's published valuation factors plus unit rates implied by its 2025 results (all formulas).
Intel Monetization = Intel quantities x TSMC coefficients, with positive / negative / net results per factor and TSMC as a benchmark.
TSMC &amp; Intel Trends = 2021-2025 series, including Intel's carbon cost per year at TSMC's annual social cost of carbon.
Intel Water by Site / Intel GHG by Site = Intel appendix tables (pp. 60-62), with site-level monetization.
Data Gaps = what TSMC's method needs that Intel does not disclose, for assessing Intel's report.</t>
  </si>
  <si>
    <t>Colour legend</t>
  </si>
  <si>
    <t>Blue text = hard-coded input from a report. Black = formula. Green = link to another sheet. Yellow fill = assumption or student input you can change (e.g., exchange rate, lost days per case, figures Intel does not disclose). Orange tint = TSMC column; blue tint = Intel column.</t>
  </si>
  <si>
    <t>Units</t>
  </si>
  <si>
    <t>TSMC values are in NT$ million (2023 NT$ base, per IVR p. 59). Intel monetized results are shown in both NT$ million and US$ million using the exchange-rate assumption on the TSMC Coefficients sheet. 1 megaliter (ML) = 1,000 m3; 1 billion US gallons = 3.785 million m3.</t>
  </si>
  <si>
    <t>Key caveats</t>
  </si>
  <si>
    <t>1) TSMC's water and OHS figures come from site-specific models (water stress index, DALYs, human-capital approach). The implied unit rates are a simplification students can critique.
2) Intel reports injury RATES, not counts or lost workdays, so case counts are estimated from headcount.
3) Intel 'water restored' and TSMC 'Water Positive' use different definitions (Intel 103% net positive vs TSMC 21% Water Positive achievement rate). They are not like-for-like.
4) Intel Scope 2 is market-based (49,000 t) because Intel buys 99% renewable electricity; location-based is 3,311,000 t.</t>
  </si>
  <si>
    <t>Factor 1. Carbon (GHG emissions)</t>
  </si>
  <si>
    <t>TSMC: TSMC 2025 Sustainability Impact Valuation Report (IVR) pp. 25-26 (+ main report p. 91). Intel: report p. 62 (+ pp. 34-36, 58).</t>
  </si>
  <si>
    <t>Part A. Quantitative figures</t>
  </si>
  <si>
    <t>Metric</t>
  </si>
  <si>
    <t>TSMC 2025</t>
  </si>
  <si>
    <t>TSMC unit</t>
  </si>
  <si>
    <t>Intel 2025</t>
  </si>
  <si>
    <t>Intel unit</t>
  </si>
  <si>
    <t>Like-for-like?</t>
  </si>
  <si>
    <t>Comparability note</t>
  </si>
  <si>
    <t>TSMC source</t>
  </si>
  <si>
    <t>Intel source</t>
  </si>
  <si>
    <t>Scope 1 GHG emissions</t>
  </si>
  <si>
    <t>tCO2e</t>
  </si>
  <si>
    <t>Yes</t>
  </si>
  <si>
    <t>Both GHG Protocol. TSMC reported as 2.2 MtCO2e.</t>
  </si>
  <si>
    <t>IVR p. 25</t>
  </si>
  <si>
    <t>Intel p. 35, p. 62</t>
  </si>
  <si>
    <t>Scope 2 GHG emissions (market-based)</t>
  </si>
  <si>
    <t>Gap driven by renewables: Intel 99% renewable electricity vs TSMC 20.1%.</t>
  </si>
  <si>
    <t>Scope 2 GHG emissions (location-based)</t>
  </si>
  <si>
    <t>Not reported in IVR</t>
  </si>
  <si>
    <t>Partly</t>
  </si>
  <si>
    <t>Intel's location-based figure shows what its electricity would emit without renewable purchases.</t>
  </si>
  <si>
    <t>-</t>
  </si>
  <si>
    <t>Intel p. 35 note 2</t>
  </si>
  <si>
    <t>Scope 1 + 2 total (valued by TSMC)</t>
  </si>
  <si>
    <t>TSMC is ~12x larger; scale differs (TSMC revenue NT$3.81 trillion).</t>
  </si>
  <si>
    <t>Intel p. 35, p. 58</t>
  </si>
  <si>
    <t>Scope 3 emissions</t>
  </si>
  <si>
    <t>Supply-chain GHG valued at NT$39,540m (≈5.2 MtCO2e at TSMC's SCC, implied)</t>
  </si>
  <si>
    <t>TSMC values a supply-chain hotspot estimate, not full Scope 3. Intel's total includes 13.65 Mt product use and 10.9 Mt purchased + capital goods.</t>
  </si>
  <si>
    <t>IVR p. 49 (IP&amp;L)</t>
  </si>
  <si>
    <t>Intel p. 35</t>
  </si>
  <si>
    <t>Renewable electricity share</t>
  </si>
  <si>
    <t>% of electricity</t>
  </si>
  <si>
    <t>Intel 100% in US, Europe, Israel, Malaysia, Vietnam, China; 97% Costa Rica; India 0%.</t>
  </si>
  <si>
    <t>IVR p. 26; TSR p. 91</t>
  </si>
  <si>
    <t>Intel pp. 32, 36</t>
  </si>
  <si>
    <t>Renewable energy used</t>
  </si>
  <si>
    <t>billion kWh</t>
  </si>
  <si>
    <t>billion kWh electricity (≈99% renewable)</t>
  </si>
  <si>
    <t>Intel figure is total electricity use (chart, p. 36).</t>
  </si>
  <si>
    <t>Intel p. 36</t>
  </si>
  <si>
    <t>Total energy use</t>
  </si>
  <si>
    <t>Not in scope pages</t>
  </si>
  <si>
    <t>No</t>
  </si>
  <si>
    <t>Intel p. 58</t>
  </si>
  <si>
    <t>Energy savings</t>
  </si>
  <si>
    <t>billion kWh per year (2,141 measures)</t>
  </si>
  <si>
    <t>billion kWh cumulative 2020-2025</t>
  </si>
  <si>
    <t>TSMC reports annual savings; Intel reports cumulative savings toward 4 bn kWh by 2030.</t>
  </si>
  <si>
    <t>IVR p. 26</t>
  </si>
  <si>
    <t>Intel p. 34</t>
  </si>
  <si>
    <t>Cost savings from energy efficiency</t>
  </si>
  <si>
    <t>NT$ million (2025)</t>
  </si>
  <si>
    <t>US$ million cumulative since 2020 ($105m invested)</t>
  </si>
  <si>
    <t>Different periods.</t>
  </si>
  <si>
    <t>Monetized external cost of GHG (negative)</t>
  </si>
  <si>
    <t>NT$ million</t>
  </si>
  <si>
    <t>Not reported</t>
  </si>
  <si>
    <t>Intel does not monetize. See Intel Monetization sheet.</t>
  </si>
  <si>
    <t>IVR pp. 25-26</t>
  </si>
  <si>
    <t>Monetized benefit of energy saving + renewables (positive)</t>
  </si>
  <si>
    <t>TSMC split: energy saving NT$20,364m, renewables NT$21,317m.</t>
  </si>
  <si>
    <t>IVR pp. 25-26, p. 49</t>
  </si>
  <si>
    <t>Social cost of carbon applied</t>
  </si>
  <si>
    <t>NT$ (2023) per tCO2e (= US$212 in 2020 $)</t>
  </si>
  <si>
    <t>None</t>
  </si>
  <si>
    <t>TSMC also lists US$244/t for 2025 (p. 58).</t>
  </si>
  <si>
    <t>IVR pp. 58-59</t>
  </si>
  <si>
    <t>Interim target</t>
  </si>
  <si>
    <t>Scope 1+2 -31% by 2030 (base 2025); Scope 3 -15% by 2030</t>
  </si>
  <si>
    <t>Scope 1+2 -10% by 2030 (base 2019); 2025 = -16%</t>
  </si>
  <si>
    <t>Different base years. Intel already beats its 2030 milestone; TSMC's targets are SBTi-aligned.</t>
  </si>
  <si>
    <t>TSR p. 91</t>
  </si>
  <si>
    <t>Long-term target</t>
  </si>
  <si>
    <t>Net zero 2050; 100% renewables by 2040</t>
  </si>
  <si>
    <t>Net-zero Scope 1+2 by 2040; net-zero upstream Scope 3 by 2050; 100% renewables by 2030</t>
  </si>
  <si>
    <t>Intel's dates are earlier.</t>
  </si>
  <si>
    <t>TSR p. 91; IVR p. 26</t>
  </si>
  <si>
    <t>Intel pp. 33, 36</t>
  </si>
  <si>
    <t>Emissions intensity trend</t>
  </si>
  <si>
    <t>GHG per unit of production rose 2% (target -10% missed)</t>
  </si>
  <si>
    <t>Absolute S1+2 -67% since 2006 peak; up 10% vs 2024 (1.20 to 1.32 Mt)</t>
  </si>
  <si>
    <t>TSMC reports intensity; Intel reports absolute values.</t>
  </si>
  <si>
    <t>Intel pp. 35, 58</t>
  </si>
  <si>
    <t>Part B. Qualitative actions</t>
  </si>
  <si>
    <t>Theme</t>
  </si>
  <si>
    <t>TSMC action (what TSMC does)</t>
  </si>
  <si>
    <t>Intel action (what Intel discloses)</t>
  </si>
  <si>
    <t>Assessment prompt: how does Intel measure up against TSMC's approach?</t>
  </si>
  <si>
    <t>Valuation method</t>
  </si>
  <si>
    <t>Environmental P&amp;L using the social cost of carbon (US EPA 2023; IFVI &amp; VBA). Reports external cost, benefits and net value each year, plus cost per wafer-layer and a decoupling rate (8.7%).</t>
  </si>
  <si>
    <t>No monetization. Reports tonnes, avoided emissions (85% of cumulative Scope 1+2 over a decade) and percent reductions.</t>
  </si>
  <si>
    <t>Intel discloses enough tonnage data to apply TSMC's SCC directly (best fit of the three factors). The gap is that Intel never states the social cost of its emissions or an intensity metric.</t>
  </si>
  <si>
    <t>Renewable energy</t>
  </si>
  <si>
    <t>7.3 GW long-term contracts; first private company in Taiwan to use offshore wind; PV systems; Green Power pilot program.</t>
  </si>
  <si>
    <t>99% renewable electricity via on/off-site generation, utility programs, RECs and PPAs (Green-e certified).</t>
  </si>
  <si>
    <t>Intel far ahead on share. Ask how much depends on unbundled RECs versus physical PPAs. TSMC monetizes the renewable benefit; Intel does not.</t>
  </si>
  <si>
    <t>Process emissions (F-GHGs, N2O)</t>
  </si>
  <si>
    <t>Local scrubbers to cut fluorinated gases and N2O; process gas substitution; piloting carbon capture.</t>
  </si>
  <si>
    <t>Chemical substitution, abatement, process optimization. F-GHGs are Intel's largest Scope 1 source (658,700 t).</t>
  </si>
  <si>
    <t>Both focus on abatement. Intel's Scope 1 rose to 1.27 Mt; Intel itself says industrial decarbonization is slow.</t>
  </si>
  <si>
    <t>Energy efficiency</t>
  </si>
  <si>
    <t>2,141 measures (EUV dynamic saving, scrubber standby); five conservation teams; ~900 GWh/yr saved.</t>
  </si>
  <si>
    <t>ISO 50001 at all manufacturing sites; HVAC, chilled water, heat recovery; 2.7 bn kWh cumulative savings.</t>
  </si>
  <si>
    <t>Comparable actions. TSMC quantifies annual savings and their monetized benefit; Intel gives cumulative totals.</t>
  </si>
  <si>
    <t>Targets and science alignment</t>
  </si>
  <si>
    <t>Committed to SBTi with 2025 base year; submitted plan in 2026.</t>
  </si>
  <si>
    <t>Says its targets are more ambitious than SBTi but it has not received SBTi approval because of base-year rules.</t>
  </si>
  <si>
    <t>Students can debate how credible each approach is: TSMC has external validation, Intel has earlier dates.</t>
  </si>
  <si>
    <t>Supply chain / Scope 3</t>
  </si>
  <si>
    <t>Scope 3 targets with key suppliers; NT$160m Supply Chain Carbon Reduction Subsidy; CDP supply-chain program (135 suppliers).</t>
  </si>
  <si>
    <t>Semiconductor Climate Consortium; Catalyze; SPARC; CDP questionnaire to 130 suppliers (98% response); EPIC program for top 15 suppliers.</t>
  </si>
  <si>
    <t>Intel's upstream Scope 3 rose 3% in 2025 and is 14% above 2021. TSMC monetizes supply-chain GHG (NT$-39,540m); Intel does not.</t>
  </si>
  <si>
    <t>Climate resilience / risk</t>
  </si>
  <si>
    <t>Zero days of production lost to climate events; disaster-response mechanisms.</t>
  </si>
  <si>
    <t>TCFD-aligned; Climate Transition Action Plan (CTAP); scenario analysis; CDP A- (Climate and Water).</t>
  </si>
  <si>
    <t>Both are TCFD-aligned. TSMC links resilience to a quantified KPI.</t>
  </si>
  <si>
    <t>Factor 2. Water</t>
  </si>
  <si>
    <t>TSMC: TSMC 2025 Sustainability Impact Valuation Report (IVR) pp. 27-29 (+ main report pp. 105-106). Intel: report pp. 60-61 (+ pp. 37, 58).</t>
  </si>
  <si>
    <t>Fresh water withdrawn / tap water use</t>
  </si>
  <si>
    <t>million m3 (tap water)</t>
  </si>
  <si>
    <t>million m3 (42,115 ML; 11.1 bn gal)</t>
  </si>
  <si>
    <t>Both are fresh, purchased water. TSMC ≈3x Intel.</t>
  </si>
  <si>
    <t>IVR p. 27</t>
  </si>
  <si>
    <t>Intel pp. 60-61</t>
  </si>
  <si>
    <t>Total water withdrawn (all sources)</t>
  </si>
  <si>
    <t>Not in IVR</t>
  </si>
  <si>
    <t>million m3 (incl. sea + reclaimed)</t>
  </si>
  <si>
    <t>Intel p. 61</t>
  </si>
  <si>
    <t>Water consumption (withdrawn - discharged)</t>
  </si>
  <si>
    <t>million m3</t>
  </si>
  <si>
    <t>TSMC values 'water consumption' but discloses tap water use as the input.</t>
  </si>
  <si>
    <t>Wastewater / water discharged</t>
  </si>
  <si>
    <t>million m3 (process wastewater)</t>
  </si>
  <si>
    <t>million m3 (≈76% to municipal treatment)</t>
  </si>
  <si>
    <t>TSMC = process wastewater; Intel = all discharge/return.</t>
  </si>
  <si>
    <t>IVR p. 28</t>
  </si>
  <si>
    <t>Water recycled / conserved</t>
  </si>
  <si>
    <t>million m3 recycled and reused</t>
  </si>
  <si>
    <t>million m3 conserved (11.2 bn gal)</t>
  </si>
  <si>
    <t>Different definitions (in-fab recycling vs conservation projects).</t>
  </si>
  <si>
    <t>Intel pp. 37, 61</t>
  </si>
  <si>
    <t>Reclaimed water use</t>
  </si>
  <si>
    <t>million m3 (reclaimed withdrawal)</t>
  </si>
  <si>
    <t>Intel reclaimed water: Ocotillo 1,292 ML + Mission 49 ML.</t>
  </si>
  <si>
    <t>Reclaimed-water substitution rate</t>
  </si>
  <si>
    <t>%</t>
  </si>
  <si>
    <t>IVR p. 29; TSR p. 105</t>
  </si>
  <si>
    <t>Water restored to watersheds</t>
  </si>
  <si>
    <t>Not quantified (restoration programs, Verde River plan)</t>
  </si>
  <si>
    <t>million m3 (2.8 bn gal)</t>
  </si>
  <si>
    <t>TSR p. 106</t>
  </si>
  <si>
    <t>Water positive metric</t>
  </si>
  <si>
    <t>Water Positive achievement rate</t>
  </si>
  <si>
    <t>net positive water (returned + restored / withdrawn)</t>
  </si>
  <si>
    <t>Definitions differ. Intel counts discharged water as 'returned'; TSMC's rate is stricter.</t>
  </si>
  <si>
    <t>TSR p. 105</t>
  </si>
  <si>
    <t>Intel pp. 37, 58</t>
  </si>
  <si>
    <t>Unit water consumption trend</t>
  </si>
  <si>
    <t>+8.8% per wafer-layer vs 2010 (target -2.7% missed)</t>
  </si>
  <si>
    <t>Fresh water use flat vs 2024; -20% vs 2020</t>
  </si>
  <si>
    <t>Intensity vs absolute.</t>
  </si>
  <si>
    <t>Intel p. 37</t>
  </si>
  <si>
    <t>Water pollution</t>
  </si>
  <si>
    <t>Composite water pollution index -61.9%</t>
  </si>
  <si>
    <t>Intel gives no wastewater quality data.</t>
  </si>
  <si>
    <t>IVR p. 29</t>
  </si>
  <si>
    <t>Health risk from water shortage</t>
  </si>
  <si>
    <t>DALYs (risk); 27.65 DALYs avoided</t>
  </si>
  <si>
    <t>Health / ecosystem risk from wastewater heavy metals</t>
  </si>
  <si>
    <t>DALYs; 14.2 PDF species loss</t>
  </si>
  <si>
    <t>Sites in high / extremely high water stress</t>
  </si>
  <si>
    <t>TSMC (China) and TSMC Arizona high-risk (WRI Aqueduct)</t>
  </si>
  <si>
    <t>Israel (3), Arizona (2), India: extremely high; Chengdu, Rio Rancho: high</t>
  </si>
  <si>
    <t>Water stress is central to TSMC's valuation. See Intel Water by Site.</t>
  </si>
  <si>
    <t>Monetized cost of water consumption (negative)</t>
  </si>
  <si>
    <t>IVR p. 27, p. 49</t>
  </si>
  <si>
    <t>Monetized cost of wastewater discharge (negative)</t>
  </si>
  <si>
    <t>Monetized benefit of water saving + reclaimed water (positive)</t>
  </si>
  <si>
    <t>Split: water-saving NT$15,135m; reclaimed NT$1,016m.</t>
  </si>
  <si>
    <t>IVR pp. 27, 29, 49</t>
  </si>
  <si>
    <t>Target</t>
  </si>
  <si>
    <t>Water Positive &gt;65% by 2030; 100% by 2040</t>
  </si>
  <si>
    <t>Net positive water and 60 bn gal conserved (cumulative from 2020) by 2030; 57.9 bn achieved</t>
  </si>
  <si>
    <t>TSR p. 105; IVR p. 29</t>
  </si>
  <si>
    <t>EP&amp;L: water consumption weighted by water-stress index and human-development index, giving DALYs (malnutrition, waterborne disease). Valued at US$87,097 per DALY (VSL). Ecosystem loss valued in PDF·m²·yr. Wastewater valued through human toxicity (USEtox) plus SCC for CH4/N2O from treatment.</t>
  </si>
  <si>
    <t>Volumetric accounting only (withdrawal, discharge, consumption, conserved, restored), site by site with WRI water-stress flags.</t>
  </si>
  <si>
    <t>Intel's site-level table is rich enough for a stress-weighted approach. The gap: no pollutant data and no health or ecosystem translation.</t>
  </si>
  <si>
    <t>Reduce</t>
  </si>
  <si>
    <t>Four measures: cut system discharge loss, reduce facility water use, raise wastewater recycling, improve water production rate.</t>
  </si>
  <si>
    <t>Water conservation projects saved 11.2 bn gal (+7% vs 2024).</t>
  </si>
  <si>
    <t>Both report reductions. TSMC's unit water use is rising; Intel's absolute use is flat.</t>
  </si>
  <si>
    <t>Reuse / alternative sources</t>
  </si>
  <si>
    <t>Reclaimed water now in advanced processes (18% substitution); desalinated seawater; Arizona reclaimed-water plant with near-zero liquid discharge.</t>
  </si>
  <si>
    <t>Reuse through on-site treatment; reclaimed water at Ocotillo and Mission; seawater in Israel.</t>
  </si>
  <si>
    <t>TSMC reports a substitution KPI; Intel does not.</t>
  </si>
  <si>
    <t>Restore / replenish</t>
  </si>
  <si>
    <t>Water Positive goal; JASM groundwater replenishment; planned Verde River restoration; ecological programs.</t>
  </si>
  <si>
    <t>Funded watershed projects restored 2.8 bn gal; net positive in US, India, Costa Rica.</t>
  </si>
  <si>
    <t>Intel quantifies restoration well. TSMC does not monetize restoration, so students must decide how to value it.</t>
  </si>
  <si>
    <t>Water quality</t>
  </si>
  <si>
    <t>Segregated wastewater treatment; ten-pollutant composite index; discharge above regulatory standards.</t>
  </si>
  <si>
    <t>Not disclosed in the report (refers to CDP).</t>
  </si>
  <si>
    <t>A clear disclosure gap for Intel under TSMC's method.</t>
  </si>
  <si>
    <t>Supply chain</t>
  </si>
  <si>
    <t>Assists suppliers with water saving (NT$787m benefit valued).</t>
  </si>
  <si>
    <t>CDP water questionnaire to 77 suppliers in water-stressed regions (97% response).</t>
  </si>
  <si>
    <t>Intel engages suppliers but gives no outcomes.</t>
  </si>
  <si>
    <t>Disclosure &amp; assurance</t>
  </si>
  <si>
    <t>Impact valuation report; Climate and Nature Report.</t>
  </si>
  <si>
    <t>Water inventory assured by Apex Companies (limited assurance); CDP Water Security A-.</t>
  </si>
  <si>
    <t>Intel's data assurance is a strength.</t>
  </si>
  <si>
    <t>Factor 3. Occupational health &amp; safety</t>
  </si>
  <si>
    <t>TSMC: TSMC 2025 Sustainability Impact Valuation Report (IVR) pp. 38-39 (+ main report pp. 177-178). Intel: report p. 58 (+ p. 23).</t>
  </si>
  <si>
    <t>Workforce</t>
  </si>
  <si>
    <t>employees</t>
  </si>
  <si>
    <t>employees (year-end)</t>
  </si>
  <si>
    <t>Similar scale.</t>
  </si>
  <si>
    <t>IVR p. 37</t>
  </si>
  <si>
    <t>Total hours worked (employees)</t>
  </si>
  <si>
    <t>hours</t>
  </si>
  <si>
    <t>Needed to convert rates to counts.</t>
  </si>
  <si>
    <t>TSR p. 177</t>
  </si>
  <si>
    <t>Employee disabling / lost-time injuries</t>
  </si>
  <si>
    <t>injuries</t>
  </si>
  <si>
    <t>Not reported (rate only)</t>
  </si>
  <si>
    <t>IVR p. 39; TSR p. 177</t>
  </si>
  <si>
    <t>Employee lost workdays</t>
  </si>
  <si>
    <t>days</t>
  </si>
  <si>
    <t>Disabling Injury Frequency Rate (FR)</t>
  </si>
  <si>
    <t>per 1,000,000 hours</t>
  </si>
  <si>
    <t>Taiwan OSH Act definition.</t>
  </si>
  <si>
    <t>Lost-time case rate per 200,000 hours (converted)</t>
  </si>
  <si>
    <t>per 100 FTE (calculated)</t>
  </si>
  <si>
    <t>Days-away case rate per 100 FTE</t>
  </si>
  <si>
    <t>Approx.</t>
  </si>
  <si>
    <t>TSMC converted to Intel's OSHA basis = 58 / 169.7m hours x 200,000. Definitions still differ.</t>
  </si>
  <si>
    <t>Calculated from TSR p. 177</t>
  </si>
  <si>
    <t>Intel pp. 23, 58</t>
  </si>
  <si>
    <t>Recordable injury/illness rate</t>
  </si>
  <si>
    <t>per 100 FTE (OSHA)</t>
  </si>
  <si>
    <t>US semiconductor industry average: 0.9 (2024).</t>
  </si>
  <si>
    <t>Contractor injuries</t>
  </si>
  <si>
    <t>injuries; 993 lost days</t>
  </si>
  <si>
    <t>IVR p. 39</t>
  </si>
  <si>
    <t>Contractor fatalities</t>
  </si>
  <si>
    <t>fatality (cooling tower maintenance)</t>
  </si>
  <si>
    <t>IVR p. 38; TSR p. 178</t>
  </si>
  <si>
    <t>Sexual harassment</t>
  </si>
  <si>
    <t>substantiated cases (45 complaints)</t>
  </si>
  <si>
    <t>TSMC includes harassment within OHS valuation.</t>
  </si>
  <si>
    <t>Health management reach</t>
  </si>
  <si>
    <t>employees screened; 22,721 CVD risk cases managed</t>
  </si>
  <si>
    <t>people using on-site fitness centers (930,000 visits)</t>
  </si>
  <si>
    <t>Different programs.</t>
  </si>
  <si>
    <t>IVR p. 38</t>
  </si>
  <si>
    <t>Intel p. 23</t>
  </si>
  <si>
    <t>Safety training coverage</t>
  </si>
  <si>
    <t>STOP &amp; FIX culture; immersive simulation training</t>
  </si>
  <si>
    <t>of workforce completed Safety Always course</t>
  </si>
  <si>
    <t>TSR p. 18</t>
  </si>
  <si>
    <t>Main injury type</t>
  </si>
  <si>
    <t>Falls / trips from dropped objects; musculoskeletal injuries from manual handling</t>
  </si>
  <si>
    <t>Ergonomic / cumulative trauma disorders = 57% of injuries</t>
  </si>
  <si>
    <t>Monetized: employee injuries (negative)</t>
  </si>
  <si>
    <t>IVR pp. 38-39</t>
  </si>
  <si>
    <t>Monetized: contractor injuries (negative)</t>
  </si>
  <si>
    <t>Separately: NT$1,464m socioeconomic loss from the fatality (human-capital approach).</t>
  </si>
  <si>
    <t>Monetized: sexual harassment (negative)</t>
  </si>
  <si>
    <t>Monetized: health management (positive)</t>
  </si>
  <si>
    <t>Zero-incident workplace; from 2026 health targets = program participation and sick-leave rate</t>
  </si>
  <si>
    <t>Recordable rate below 0.5 per 100 employees</t>
  </si>
  <si>
    <t>Intel pp. 4, 23</t>
  </si>
  <si>
    <t>Harvard Business School Impact-Weighted Accounts. Health: attributable CVD risk (3.31-25.8%) to estimate healthcare cost avoided. Injuries: human costs + insurance compensation (HSE 2020; VBA 2022). Fatalities: years of potential life lost x human-capital approach (Tsao et al. 2013). Willingness-to-pay to avoid injury: NT$370m.</t>
  </si>
  <si>
    <t>Rates only (OSHA recordable and days-away); no monetization.</t>
  </si>
  <si>
    <t>Weakest fit of the three. Intel gives no counts, lost days, contractor data or fatalities, so its figures must be estimated (see Intel Monetization).</t>
  </si>
  <si>
    <t>Management system</t>
  </si>
  <si>
    <t>Occupational safety management system; safety performance indicators; source risk control.</t>
  </si>
  <si>
    <t>ISO 45001 and ISO 14001 multi-site certification since 2001; third-party audits in 2025.</t>
  </si>
  <si>
    <t>Intel's certification is a strength; TSMC's indicator design is more outcome-linked.</t>
  </si>
  <si>
    <t>Safety culture &amp; training</t>
  </si>
  <si>
    <t>STOP &amp; FIX mindset; immersive simulation training; recognition for high-performing crews.</t>
  </si>
  <si>
    <t>Safety Always training (99%); Safety Star recognition (200+ honorees).</t>
  </si>
  <si>
    <t>Comparable.</t>
  </si>
  <si>
    <t>Contractors &amp; value chain</t>
  </si>
  <si>
    <t>Cross-organizational construction safety committee; AI site monitoring; joint toolbox meetings; PPE designed for Asian body types; contractor data in scope (expanded to US and Japan in 2025).</t>
  </si>
  <si>
    <t>EHS policy covers contractors; Responsible Factory Initiative with construction sub-contractors.</t>
  </si>
  <si>
    <t>Major gap: Intel reports no contractor injury or fatality data, which is TSMC's largest OHS cost.</t>
  </si>
  <si>
    <t>Health &amp; wellbeing</t>
  </si>
  <si>
    <t>Five priorities (check-ups, risk management, disease prevention, care, promotion); CVD follow-up; stress surveys and counseling.</t>
  </si>
  <si>
    <t>Fitness centers, Get Moving challenge, mental wellness program, EAP, on-site clinics, Health for Life Centers.</t>
  </si>
  <si>
    <t>Intel offers broad programs but reports activity, not health outcomes.</t>
  </si>
  <si>
    <t>Harassment / psychosocial</t>
  </si>
  <si>
    <t>Sexual harassment cases investigated, valued and disclosed (28 substantiated).</t>
  </si>
  <si>
    <t>Not covered in the OHS section.</t>
  </si>
  <si>
    <t>Disclosure gap for Intel if harassment is treated as an OHS impact, as TSMC does.</t>
  </si>
  <si>
    <t>Ergonomics</t>
  </si>
  <si>
    <t>Musculoskeletal injuries addressed through handling posture.</t>
  </si>
  <si>
    <t>Office Ergonomics Program; office CTD injuries down 22%.</t>
  </si>
  <si>
    <t>Intel gives more detail on its main injury cause.</t>
  </si>
  <si>
    <t>TSMC valuation coefficients and implied unit rates</t>
  </si>
  <si>
    <t>Published factors: TSMC 2025 Sustainability Impact Valuation Report (IVR) pp. 58-59. Implied rates = TSMC 2025 monetized value / TSMC 2025 activity data (formulas).</t>
  </si>
  <si>
    <t>A. Assumptions</t>
  </si>
  <si>
    <t>Item</t>
  </si>
  <si>
    <t>Value</t>
  </si>
  <si>
    <t>Unit</t>
  </si>
  <si>
    <t>Source / note</t>
  </si>
  <si>
    <t>Exchange rate, NT$ per US$ (2023 average)</t>
  </si>
  <si>
    <t>NT$/US$</t>
  </si>
  <si>
    <t>Assumption: TSMC states all factors in 2023 NT$ (IVR p. 59), so 2023 average rate used. Change if you prefer a 2025 rate.</t>
  </si>
  <si>
    <t>B. Published valuation factors (IVR p. 59)</t>
  </si>
  <si>
    <t>Factor</t>
  </si>
  <si>
    <t>Before adjustment</t>
  </si>
  <si>
    <t>Reference</t>
  </si>
  <si>
    <t>US$ equivalent</t>
  </si>
  <si>
    <t>Social cost of carbon (SCC)</t>
  </si>
  <si>
    <t>NT$ (2023) per tCO2e</t>
  </si>
  <si>
    <t>US$212 (2020 $) per tCO2</t>
  </si>
  <si>
    <t>US EPA (2023); IFVI &amp; VBA</t>
  </si>
  <si>
    <t>Cost of human health loss</t>
  </si>
  <si>
    <t>NT$ (2023) per DALY</t>
  </si>
  <si>
    <t>US$87,097 (2022 $) per DALY = US$2.7m VSL / 31 life-years</t>
  </si>
  <si>
    <t>OECD (2025); IFVI &amp; VBA (2026)</t>
  </si>
  <si>
    <t>Cost of ecosystem loss</t>
  </si>
  <si>
    <t>NT$ (2023) per PDF·m²·yr</t>
  </si>
  <si>
    <t>EUR 0.635 (2015) per PDF·m²·yr</t>
  </si>
  <si>
    <t>CE Delft (2018)</t>
  </si>
  <si>
    <t>SCC by year (US$/tCO2), IVR p. 58</t>
  </si>
  <si>
    <t>2021</t>
  </si>
  <si>
    <t>2022</t>
  </si>
  <si>
    <t>2023</t>
  </si>
  <si>
    <t>2024</t>
  </si>
  <si>
    <t>2025</t>
  </si>
  <si>
    <t>C. Implied unit rates from TSMC 2025 results</t>
  </si>
  <si>
    <t>Impact line</t>
  </si>
  <si>
    <t>TSMC 2025 value (NT$ m)</t>
  </si>
  <si>
    <t>TSMC 2025 activity</t>
  </si>
  <si>
    <t>Activity unit</t>
  </si>
  <si>
    <t>Implied rate (NT$ per unit)</t>
  </si>
  <si>
    <t>Implied rate (US$ per unit)</t>
  </si>
  <si>
    <t>Note</t>
  </si>
  <si>
    <t>Carbon: GHG emissions cost (check vs SCC)</t>
  </si>
  <si>
    <t>tCO2e (Scope 1+2)</t>
  </si>
  <si>
    <t>IVR pp. 25-26. Reproduces SCC ≈ NT$7,588/t, confirming the method.</t>
  </si>
  <si>
    <t>Carbon: renewable energy benefit</t>
  </si>
  <si>
    <t>billion kWh renewable</t>
  </si>
  <si>
    <t>IVR p. 49. Per bn kWh. Implied ≈NT$0.37/kWh ≈ 0.05 tCO2e/MWh at SCC: far below a grid emission factor. A discussion point.</t>
  </si>
  <si>
    <t>Carbon: energy-saving benefit</t>
  </si>
  <si>
    <t>billion kWh cumulative electricity savings</t>
  </si>
  <si>
    <t>IVR p. 49 &amp; p. 25. Implied ≈NT$0.36/kWh, close to the renewable rate, so TSMC appears to value cumulative savings.</t>
  </si>
  <si>
    <t>Water: consumption cost</t>
  </si>
  <si>
    <t>m3 tap water used</t>
  </si>
  <si>
    <t>IVR p. 27. TSMC actually uses stress-weighted DALYs + ecosystem loss; this is an average.</t>
  </si>
  <si>
    <t>Water: wastewater discharge cost</t>
  </si>
  <si>
    <t>m3 process wastewater</t>
  </si>
  <si>
    <t>IVR p. 28.</t>
  </si>
  <si>
    <t>Water: water-saving benefit</t>
  </si>
  <si>
    <t>m3 water recycled / reused</t>
  </si>
  <si>
    <t>IVR pp. 27, 49.</t>
  </si>
  <si>
    <t>Water: reclaimed-water benefit</t>
  </si>
  <si>
    <t>m3 reclaimed water</t>
  </si>
  <si>
    <t>OHS: employee injury cost per lost workday</t>
  </si>
  <si>
    <t>lost workdays</t>
  </si>
  <si>
    <t>IVR p. 39.</t>
  </si>
  <si>
    <t>OHS: employee injury cost per injury</t>
  </si>
  <si>
    <t>OHS: contractor injury cost per lost workday</t>
  </si>
  <si>
    <t>IVR p. 39 (48 injuries + 1 fatality).</t>
  </si>
  <si>
    <t>OHS: socioeconomic loss per fatality</t>
  </si>
  <si>
    <t>fatality</t>
  </si>
  <si>
    <t>IVR p. 38. Human-capital approach (YPLL/WYPLL); reported separately from the NT$17m.</t>
  </si>
  <si>
    <t>OHS: sexual harassment cost per case</t>
  </si>
  <si>
    <t>substantiated cases</t>
  </si>
  <si>
    <t>OHS: health management benefit per case</t>
  </si>
  <si>
    <t>CVD risk cases managed</t>
  </si>
  <si>
    <t>OHS: avg lost workdays per employee injury</t>
  </si>
  <si>
    <t>days per injury</t>
  </si>
  <si>
    <t>n/a</t>
  </si>
  <si>
    <t>Calculated as 636 / 58. Used to estimate Intel lost days.</t>
  </si>
  <si>
    <t>Intel 2025 impacts monetized with TSMC's method</t>
  </si>
  <si>
    <t>Intel quantities (blue) x TSMC coefficients (green links). Yellow = assumption or student input. Positive = benefit to society, negative = cost.</t>
  </si>
  <si>
    <t>Intel quantity</t>
  </si>
  <si>
    <t>Conversion to TSMC unit</t>
  </si>
  <si>
    <t>Quantity in TSMC unit</t>
  </si>
  <si>
    <t>TSMC rate (NT$/unit)</t>
  </si>
  <si>
    <t>Monetized (NT$ m)</t>
  </si>
  <si>
    <t>Monetized (US$ m)</t>
  </si>
  <si>
    <t>Included in net?</t>
  </si>
  <si>
    <t>Method note / Intel source</t>
  </si>
  <si>
    <t>Carbon</t>
  </si>
  <si>
    <t>Scope 1 emissions (negative)</t>
  </si>
  <si>
    <t>Intel p. 62. x SCC.</t>
  </si>
  <si>
    <t>Scope 2 market-based emissions (negative)</t>
  </si>
  <si>
    <t>Renewable electricity benefit (positive)</t>
  </si>
  <si>
    <t>billion kWh renewable electricity</t>
  </si>
  <si>
    <t>Intel: 10.2 bn kWh electricity (p. 36) x 99% renewable (p. 58). Valued at TSMC's implied rate per bn kWh, as TSMC does.</t>
  </si>
  <si>
    <t>Energy-saving benefit (positive)</t>
  </si>
  <si>
    <t>billion kWh cumulative savings 2020-2025</t>
  </si>
  <si>
    <t>Intel p. 34. TSMC values cumulative savings (56 bn kWh), so Intel's cumulative figure is used. Note different start years.</t>
  </si>
  <si>
    <t>MEMO: alternative renewable benefit = (location - market Scope 2) x SCC</t>
  </si>
  <si>
    <t>tCO2e avoided</t>
  </si>
  <si>
    <t>Intel p. 35: 3,311,000 - 49,000. Uses grid factors, so it is ~7x the TSMC-rate result. Shows how sensitive the result is to the avoided-emission factor.</t>
  </si>
  <si>
    <t>MEMO: upstream Scope 3 purchased + capital goods (negative)</t>
  </si>
  <si>
    <t>Intel p. 35: 7,672,000 + 3,228,000. TSMC values supply-chain GHG separately (NT$-39,540m), so it is kept out of the operations net.</t>
  </si>
  <si>
    <t>Water</t>
  </si>
  <si>
    <t>Fresh water withdrawal / consumption cost (negative)</t>
  </si>
  <si>
    <t>ML fresh water withdrawn</t>
  </si>
  <si>
    <t>Intel p. 61. Same basis as TSMC 'tap water use'.</t>
  </si>
  <si>
    <t>MEMO: sensitivity on consumption basis (negative)</t>
  </si>
  <si>
    <t>ML consumed</t>
  </si>
  <si>
    <t>Intel p. 61. Lower bound if only consumed (not returned) water is valued.</t>
  </si>
  <si>
    <t>Wastewater discharge cost (negative)</t>
  </si>
  <si>
    <t>ML discharged</t>
  </si>
  <si>
    <t>Intel p. 61. Likely an overstatement: ~76% goes to municipal treatment and TSMC's rate reflects process-wastewater toxicity.</t>
  </si>
  <si>
    <t>Water conservation benefit (positive)</t>
  </si>
  <si>
    <t>ML conserved</t>
  </si>
  <si>
    <t>Intel p. 61. TSMC water-saving rate.</t>
  </si>
  <si>
    <t>Reclaimed water use benefit (positive)</t>
  </si>
  <si>
    <t>ML reclaimed water withdrawn</t>
  </si>
  <si>
    <t>Intel p. 61 (Ocotillo 1,292 + Mission 49).</t>
  </si>
  <si>
    <t>Watershed restoration benefit (positive, student judgment)</t>
  </si>
  <si>
    <t>ML restored</t>
  </si>
  <si>
    <t>Intel p. 61. TSMC does not value restoration; reclaimed-water rate used as a proxy. Set to 0 to exclude.</t>
  </si>
  <si>
    <t>OHS</t>
  </si>
  <si>
    <t>Employee lost-time injury cost (negative)</t>
  </si>
  <si>
    <t>estimated lost workdays</t>
  </si>
  <si>
    <t>Lost days estimated below (Intel gives rates only).</t>
  </si>
  <si>
    <t>Contractor injury cost (negative)</t>
  </si>
  <si>
    <t>contractor lost workdays</t>
  </si>
  <si>
    <t>Intel does not disclose. Enter if available.</t>
  </si>
  <si>
    <t>Fatality socioeconomic loss (negative)</t>
  </si>
  <si>
    <t>fatalities (employees + contractors)</t>
  </si>
  <si>
    <t>Sexual harassment cost (negative)</t>
  </si>
  <si>
    <t>Health management benefit (positive)</t>
  </si>
  <si>
    <t>health risk cases managed</t>
  </si>
  <si>
    <t>Intel reports activity (26,000 fitness users), not managed risk cases. Enter if available.</t>
  </si>
  <si>
    <t>OHS estimation: converting Intel rates to cases and lost days</t>
  </si>
  <si>
    <t>Intel employees (year-end 2025)</t>
  </si>
  <si>
    <t>Days-away case rate (per 100 FTE)</t>
  </si>
  <si>
    <t>Recordable rate (per 100 FTE)</t>
  </si>
  <si>
    <t>Estimated days-away cases</t>
  </si>
  <si>
    <t>Calculated as employees / 100 x rate. Approximation: OSHA rates are per 200,000 hours, not per headcount.</t>
  </si>
  <si>
    <t>Estimated recordable cases</t>
  </si>
  <si>
    <t>Calculated as employees / 100 x recordable rate</t>
  </si>
  <si>
    <t>Average lost days per case</t>
  </si>
  <si>
    <t>Default = TSMC 636 / 58 = 10.97. Change if you have a better estimate.</t>
  </si>
  <si>
    <t>Estimated employee lost workdays</t>
  </si>
  <si>
    <t>Calculated as cases x days per case. Feeds the OHS employee line above.</t>
  </si>
  <si>
    <t>MEMO: cost if all recordables valued at TSMC's per-injury rate (NT$ m)</t>
  </si>
  <si>
    <t>Sensitivity (upper bound).</t>
  </si>
  <si>
    <t>Summary: Intel monetized impact vs TSMC 2025 (only lines marked 'Yes')</t>
  </si>
  <si>
    <t>Intel positive (NT$ m)</t>
  </si>
  <si>
    <t>Intel negative (NT$ m)</t>
  </si>
  <si>
    <t>Intel net (NT$ m)</t>
  </si>
  <si>
    <t>Intel net (US$ m)</t>
  </si>
  <si>
    <t>TSMC positive (NT$ m)</t>
  </si>
  <si>
    <t>TSMC negative (NT$ m)</t>
  </si>
  <si>
    <t>TSMC net (NT$ m)</t>
  </si>
  <si>
    <t>TSMC net (US$ m)</t>
  </si>
  <si>
    <t>Intel net as % of TSMC net</t>
  </si>
  <si>
    <t>IVR pp. 27-29 (water consumption -5,709 + wastewater -573; excludes air &amp; waste)</t>
  </si>
  <si>
    <t>IVR pp. 38-39 (-1.43 - 17 - 56.72; excludes NT$1,464m fatality loss)</t>
  </si>
  <si>
    <t>Total</t>
  </si>
  <si>
    <t>• Reading the result: a negative net means Intel's operations impose a net cost on society for that factor, valued with TSMC's coefficients.</t>
  </si>
  <si>
    <t>• Carbon is the most robust line: Intel's tonnes are directly comparable and TSMC's SCC is fully disclosed.</t>
  </si>
  <si>
    <t>• Water and OHS use average rates implied by TSMC's results. TSMC's own models are site-specific (water stress, DALYs, human capital), so treat these as first-order estimates and discuss the limits.</t>
  </si>
  <si>
    <t>• Yellow cells hold figures Intel does not disclose. Leaving them at 0 shows how much of TSMC's framework Intel's report cannot support (see Data Gaps).</t>
  </si>
  <si>
    <t>2021-2025 trends</t>
  </si>
  <si>
    <t>TSMC: TSMC 2025 Sustainability Impact Valuation Report (IVR) p. 49 (Integrated P&amp;L, NT$ m) and pp. 26, 29. Intel: report p. 58 (performance data summary).</t>
  </si>
  <si>
    <t>Series</t>
  </si>
  <si>
    <t>Source</t>
  </si>
  <si>
    <t>TSMC: GHG emissions from operations (negative)</t>
  </si>
  <si>
    <t>NT$ m</t>
  </si>
  <si>
    <t>IVR p. 49</t>
  </si>
  <si>
    <t>TSMC: benefits from renewable energy use</t>
  </si>
  <si>
    <t>TSMC: benefits from energy-saving measures</t>
  </si>
  <si>
    <t>IVR p. 50</t>
  </si>
  <si>
    <t>TSMC: supply-chain GHG emissions (negative)</t>
  </si>
  <si>
    <t>TSMC: water consumption (negative)</t>
  </si>
  <si>
    <t>TSMC: wastewater discharge (negative)</t>
  </si>
  <si>
    <t>TSMC: water-saving measures</t>
  </si>
  <si>
    <t>TSMC: reclaimed water use</t>
  </si>
  <si>
    <t>IVR p. 50 (not assessed before 2023)</t>
  </si>
  <si>
    <t>TSMC: employee health management</t>
  </si>
  <si>
    <t>IVR p. 49 (assessed from 2023)</t>
  </si>
  <si>
    <t>TSMC: sexual harassment (negative)</t>
  </si>
  <si>
    <t>TSMC: employee occupational injuries (negative)</t>
  </si>
  <si>
    <t>IVR p. 49 (rounded)</t>
  </si>
  <si>
    <t>TSMC: contractor occupational injuries (negative)</t>
  </si>
  <si>
    <t>IVR p. 49 (scope expanded 2025)</t>
  </si>
  <si>
    <t>TSMC: employee disabling injuries</t>
  </si>
  <si>
    <t>count</t>
  </si>
  <si>
    <t>TSMC: employee lost workdays</t>
  </si>
  <si>
    <t>TSMC: disabling injury frequency rate (FR)</t>
  </si>
  <si>
    <t>per 1m hours</t>
  </si>
  <si>
    <t>Intel: Scope 1+2 GHG (market-based)</t>
  </si>
  <si>
    <t>million tCO2e</t>
  </si>
  <si>
    <t>Intel: renewable electricity</t>
  </si>
  <si>
    <t>Intel: energy use</t>
  </si>
  <si>
    <t>Intel: fresh water withdrawn</t>
  </si>
  <si>
    <t>billion gallons</t>
  </si>
  <si>
    <t>Intel: water conserved</t>
  </si>
  <si>
    <t>Intel: net positive water</t>
  </si>
  <si>
    <t>Intel: recordable rate</t>
  </si>
  <si>
    <t>per 100 FTE</t>
  </si>
  <si>
    <t>Intel: days-away case rate</t>
  </si>
  <si>
    <t>Derived: Intel monetized with TSMC's year-specific social cost of carbon and water rate</t>
  </si>
  <si>
    <t>Method</t>
  </si>
  <si>
    <t>Intel: Scope 1+2 carbon cost at TSMC's annual SCC (negative)</t>
  </si>
  <si>
    <t>US$ m</t>
  </si>
  <si>
    <t>Mt x US$/t (SCC 205, 223, 236, 239, 244 per IVR p. 58)</t>
  </si>
  <si>
    <t>Intel: fresh-water cost at TSMC 2025 implied rate (negative)</t>
  </si>
  <si>
    <t>bn gal x 3.785 = million m3, x TSMC US$/m3. Rate held at 2025 level.</t>
  </si>
  <si>
    <t>Intel 2025 water inventory by site (megaliters)</t>
  </si>
  <si>
    <t>Intel report pp. 60-61. Stress per WRI Aqueduct (2026) as footnoted by Intel. Restored and net positive % are reported by country.</t>
  </si>
  <si>
    <t>Country</t>
  </si>
  <si>
    <t>Site</t>
  </si>
  <si>
    <t>Water stress</t>
  </si>
  <si>
    <t>Fresh water withdrawn (ML)</t>
  </si>
  <si>
    <t>Total withdrawn (ML)</t>
  </si>
  <si>
    <t>Discharged (ML)</t>
  </si>
  <si>
    <t>Consumed (ML)</t>
  </si>
  <si>
    <t>Conserved (ML)</t>
  </si>
  <si>
    <t>Restored (ML, country)</t>
  </si>
  <si>
    <t>Net positive % (country)</t>
  </si>
  <si>
    <t>Fresh-water cost at TSMC rate (US$ m)</t>
  </si>
  <si>
    <t>China</t>
  </si>
  <si>
    <t>Chengdu</t>
  </si>
  <si>
    <t>High</t>
  </si>
  <si>
    <t>Costa Rica</t>
  </si>
  <si>
    <t>San Jose</t>
  </si>
  <si>
    <t>India</t>
  </si>
  <si>
    <t>Bangalore: Sarjapur</t>
  </si>
  <si>
    <t>Extremely high</t>
  </si>
  <si>
    <t>Ireland</t>
  </si>
  <si>
    <t>Leixlip</t>
  </si>
  <si>
    <t>Israel</t>
  </si>
  <si>
    <t>Haifa</t>
  </si>
  <si>
    <t>Petach Tikva</t>
  </si>
  <si>
    <t>Qiryat Gat</t>
  </si>
  <si>
    <t>Malaysia</t>
  </si>
  <si>
    <t>Kulim</t>
  </si>
  <si>
    <t>Penang</t>
  </si>
  <si>
    <t>Poland</t>
  </si>
  <si>
    <t>Gdansk</t>
  </si>
  <si>
    <t>United States</t>
  </si>
  <si>
    <t>Arizona: Chandler</t>
  </si>
  <si>
    <t>Arizona: Ocotillo</t>
  </si>
  <si>
    <t>California: Bowers</t>
  </si>
  <si>
    <t>California: Folsom</t>
  </si>
  <si>
    <t>California: Mission</t>
  </si>
  <si>
    <t>New Mexico: Rio Rancho</t>
  </si>
  <si>
    <t>Oregon: Aloha</t>
  </si>
  <si>
    <t>Oregon: Jones Farm</t>
  </si>
  <si>
    <t>Oregon: Ronler Acres</t>
  </si>
  <si>
    <t>Vietnam</t>
  </si>
  <si>
    <t>Ho Chi Minh City</t>
  </si>
  <si>
    <t>Total (calculated)</t>
  </si>
  <si>
    <t>see reported</t>
  </si>
  <si>
    <t>Intel reported total</t>
  </si>
  <si>
    <t>Check (calc - reported; Intel rounds)</t>
  </si>
  <si>
    <t>Share of fresh water withdrawn at high / extremely high stress sites</t>
  </si>
  <si>
    <t>Prompt: TSMC weights water costs by local water stress. How might this change Intel's valuation?</t>
  </si>
  <si>
    <t>Intel 2025 Scope 1 and 2 GHG inventory by site (tCO2e)</t>
  </si>
  <si>
    <t>Intel report p. 62. Scope 2 market-based. '–' in the report entered as 0.</t>
  </si>
  <si>
    <t>Fluorinated GHGs</t>
  </si>
  <si>
    <t>Combustion / fuels</t>
  </si>
  <si>
    <t>Heat transfer fluids</t>
  </si>
  <si>
    <t>N2O</t>
  </si>
  <si>
    <t>Other</t>
  </si>
  <si>
    <t>Total Scope 1</t>
  </si>
  <si>
    <t>Scope 2 (market)</t>
  </si>
  <si>
    <t>% renewable electricity</t>
  </si>
  <si>
    <t>Total Scope 1+2</t>
  </si>
  <si>
    <t>Carbon cost at TSMC SCC (US$ m)</t>
  </si>
  <si>
    <t>Bangalore, Sarjapur</t>
  </si>
  <si>
    <t>Check (calc - reported); Intel notes rounding</t>
  </si>
  <si>
    <t>Assessing Intel's report against TSMC's method: data gaps</t>
  </si>
  <si>
    <t>What TSMC's valuation needs vs what Intel discloses. Status: Disclosed / Partial / Not disclosed.</t>
  </si>
  <si>
    <t>Input TSMC's method needs</t>
  </si>
  <si>
    <t>Intel status</t>
  </si>
  <si>
    <t>Where in Intel's report</t>
  </si>
  <si>
    <t>Effect on monetization</t>
  </si>
  <si>
    <t>Suggested disclosure improvement</t>
  </si>
  <si>
    <t>Scope 1 and Scope 2 tonnes</t>
  </si>
  <si>
    <t>Disclosed</t>
  </si>
  <si>
    <t>pp. 35, 62 (by site and gas)</t>
  </si>
  <si>
    <t>Can be valued directly with SCC.</t>
  </si>
  <si>
    <t>Renewable energy / avoided emissions</t>
  </si>
  <si>
    <t>p. 35 (location- vs market-based Scope 2)</t>
  </si>
  <si>
    <t>Benefit can be valued.</t>
  </si>
  <si>
    <t>Annual energy savings (kWh)</t>
  </si>
  <si>
    <t>Partial</t>
  </si>
  <si>
    <t>p. 34 (cumulative 2.7 bn kWh only)</t>
  </si>
  <si>
    <t>Energy-saving benefit cannot be valued for 2025.</t>
  </si>
  <si>
    <t>Report annual kWh saved.</t>
  </si>
  <si>
    <t>Supply-chain GHG hotspot</t>
  </si>
  <si>
    <t>p. 35 (Scope 3 by category)</t>
  </si>
  <si>
    <t>Can be valued (kept as memo line).</t>
  </si>
  <si>
    <t>Monetized external cost / intensity per unit</t>
  </si>
  <si>
    <t>Not disclosed</t>
  </si>
  <si>
    <t>Students must compute it.</t>
  </si>
  <si>
    <t>Publish an EP&amp;L or impact-weighted figure; add intensity per wafer or revenue.</t>
  </si>
  <si>
    <t>Water withdrawal / consumption by site</t>
  </si>
  <si>
    <t>pp. 60-61</t>
  </si>
  <si>
    <t>Can be valued; site detail supports stress weighting.</t>
  </si>
  <si>
    <t>Water stress index by site</t>
  </si>
  <si>
    <t>pp. 60-61 footnotes (WRI category only)</t>
  </si>
  <si>
    <t>Only categorical weighting is possible.</t>
  </si>
  <si>
    <t>Disclose WSI scores used.</t>
  </si>
  <si>
    <t>Wastewater pollutant loads (heavy metals, COD, N)</t>
  </si>
  <si>
    <t>Toxicity-based wastewater cost cannot be replicated; volume proxy used.</t>
  </si>
  <si>
    <t>Report pollutant loads or a composite water-quality index.</t>
  </si>
  <si>
    <t>Health impact (DALYs) / ecosystem impact (PDF)</t>
  </si>
  <si>
    <t>Relies on TSMC's average rates.</t>
  </si>
  <si>
    <t>Reclaimed / recycled water</t>
  </si>
  <si>
    <t>p. 61 (reclaimed withdrawals); conserved volumes</t>
  </si>
  <si>
    <t>Can be valued approximately.</t>
  </si>
  <si>
    <t>Report in-fab recycling rate.</t>
  </si>
  <si>
    <t>Number of injuries and lost workdays</t>
  </si>
  <si>
    <t>pp. 23, 58 (rates only)</t>
  </si>
  <si>
    <t>Must estimate from headcount x rate.</t>
  </si>
  <si>
    <t>Report counts, hours worked and lost days.</t>
  </si>
  <si>
    <t>Contractor injuries and fatalities</t>
  </si>
  <si>
    <t>TSMC's largest OHS cost line cannot be valued for Intel.</t>
  </si>
  <si>
    <t>Report contractor injury rates and fatalities.</t>
  </si>
  <si>
    <t>Sexual harassment cases</t>
  </si>
  <si>
    <t>Cannot be valued.</t>
  </si>
  <si>
    <t>Report substantiated cases.</t>
  </si>
  <si>
    <t>Health-program outcomes (risk cases managed)</t>
  </si>
  <si>
    <t>p. 23 (activity: fitness visits, wellness)</t>
  </si>
  <si>
    <t>Health benefit cannot be valued.</t>
  </si>
  <si>
    <t>Report outcome metrics.</t>
  </si>
  <si>
    <t>Coverage score</t>
  </si>
  <si>
    <t>Share of TSMC inputs Intel fully discloses</t>
  </si>
  <si>
    <t>Carbon: fully disclosed</t>
  </si>
  <si>
    <t>Water: fully disclosed</t>
  </si>
  <si>
    <t>OHS: fully disclosed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</si>
</sst>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0.00\)"/>
    <numFmt numFmtId="166" formatCode="#,##0.000;\(#,##0.000\)"/>
    <numFmt numFmtId="167" formatCode="#,##0.0"/>
    <numFmt numFmtId="168" formatCode="#,##0.00;\-#,##0.00"/>
    <numFmt numFmtId="169" formatCode="#,##0.0;\(#,##0.0\);\-"/>
    <numFmt numFmtId="170" formatCode="#,##0.00;\(#,##0.00\);\-"/>
    <numFmt numFmtId="171" formatCode="#,##0.000"/>
    <numFmt numFmtId="172" formatCode="0.0%"/>
    <numFmt numFmtId="173" formatCode="#,##0;\(#,##0\)"/>
    <numFmt numFmtId="174" formatCode="#,##0.0;\(#,##0.0\)"/>
    <numFmt numFmtId="175" formatCode="#,##0;\(#,##0\);\-"/>
  </numFmts>
  <fonts count="11" x14ac:knownFonts="1">
    <font>
      <sz val="11"/>
      <color theme="1"/>
      <name val="Calibri"/>
      <family val="2"/>
      <charset val="1"/>
    </font>
    <font>
      <sz val="10"/>
      <name val="Arial"/>
      <family val="2"/>
    </font>
    <font>
      <b/>
      <sz val="14"/>
      <color rgb="FF1F3864"/>
      <name val="Arial"/>
      <family val="2"/>
    </font>
    <font>
      <i/>
      <sz val="9"/>
      <color rgb="FF595959"/>
      <name val="Arial"/>
      <family val="2"/>
    </font>
    <font>
      <b/>
      <sz val="10"/>
      <color rgb="FF000000"/>
      <name val="Arial"/>
      <family val="2"/>
    </font>
    <font>
      <sz val="10"/>
      <color rgb="FF000000"/>
      <name val="Arial"/>
      <family val="2"/>
    </font>
    <font>
      <b/>
      <sz val="11"/>
      <color rgb="FF1F3864"/>
      <name val="Arial"/>
      <family val="2"/>
    </font>
    <font>
      <b/>
      <sz val="10"/>
      <color rgb="FFFFFFFF"/>
      <name val="Arial"/>
      <family val="2"/>
    </font>
    <font>
      <sz val="10"/>
      <color rgb="FF0000FF"/>
      <name val="Arial"/>
      <family val="2"/>
    </font>
    <font>
      <sz val="10"/>
      <color rgb="FF008000"/>
      <name val="Arial"/>
      <family val="2"/>
    </font>
    <font>
      <i/>
      <sz val="10"/>
      <color rgb="FF404040"/>
      <name val="Arial"/>
      <family val="2"/>
    </font>
  </fonts>
  <fills count="13">
    <fill>
      <patternFill patternType="none"/>
    </fill>
    <fill>
      <patternFill patternType="gray125"/>
    </fill>
    <fill>
      <patternFill patternType="solid">
        <fgColor rgb="FFD9E1F2"/>
        <bgColor rgb="FFDDEBF7"/>
      </patternFill>
    </fill>
    <fill>
      <patternFill patternType="solid">
        <fgColor rgb="FF1F3864"/>
        <bgColor rgb="FF333399"/>
      </patternFill>
    </fill>
    <fill>
      <patternFill patternType="solid">
        <fgColor rgb="FFFCE4D6"/>
        <bgColor rgb="FFE2EFDA"/>
      </patternFill>
    </fill>
    <fill>
      <patternFill patternType="solid">
        <fgColor rgb="FFDDEBF7"/>
        <bgColor rgb="FFD9E1F2"/>
      </patternFill>
    </fill>
    <fill>
      <patternFill patternType="solid">
        <fgColor rgb="FFFFFF00"/>
        <bgColor rgb="FFFFCC00"/>
      </patternFill>
    </fill>
    <fill>
      <patternFill patternType="solid">
        <fgColor rgb="FFE2EFDA"/>
        <bgColor rgb="FFDDEBF7"/>
      </patternFill>
    </fill>
    <fill>
      <patternFill patternType="solid">
        <fgColor rgb="FFFFE699"/>
        <bgColor rgb="FFFFEB9C"/>
      </patternFill>
    </fill>
    <fill>
      <patternFill patternType="solid">
        <fgColor rgb="FFF8CBAD"/>
        <bgColor rgb="FFFFC7CE"/>
      </patternFill>
    </fill>
    <fill>
      <patternFill patternType="solid">
        <fgColor rgb="FFC6EFCE"/>
        <bgColor rgb="FFE2EFDA"/>
      </patternFill>
    </fill>
    <fill>
      <patternFill patternType="solid">
        <fgColor rgb="FFFFEB9C"/>
        <bgColor rgb="FFFFE699"/>
      </patternFill>
    </fill>
    <fill>
      <patternFill patternType="solid">
        <fgColor rgb="FFFFC7CE"/>
        <b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9">
    <xf numFmtId="0" fontId="0" fillId="0" borderId="0" xfId="0"/>
    <xf numFmtId="0" fontId="2" fillId="0" borderId="0" xfId="0" applyFont="1"/>
    <xf numFmtId="0" fontId="3" fillId="0" borderId="0" xfId="0" applyFont="1"/>
    <xf numFmtId="0" fontId="4" fillId="0" borderId="1" xfId="0" applyFont="1" applyBorder="1" applyAlignment="1">
      <alignment vertical="top" wrapText="1"/>
    </xf>
    <xf numFmtId="0" fontId="5" fillId="0" borderId="1" xfId="0" applyFont="1" applyBorder="1" applyAlignment="1">
      <alignment vertical="top" wrapText="1"/>
    </xf>
    <xf numFmtId="0" fontId="6" fillId="2" borderId="0" xfId="0" applyFont="1" applyFill="1"/>
    <xf numFmtId="0" fontId="0" fillId="2" borderId="0" xfId="0" applyFill="1"/>
    <xf numFmtId="0" fontId="7" fillId="3" borderId="1" xfId="0" applyFont="1" applyFill="1" applyBorder="1" applyAlignment="1">
      <alignment vertical="center" wrapText="1"/>
    </xf>
    <xf numFmtId="3" fontId="8" fillId="4" borderId="1" xfId="0" applyNumberFormat="1" applyFont="1" applyFill="1" applyBorder="1" applyAlignment="1">
      <alignment vertical="top" wrapText="1"/>
    </xf>
    <xf numFmtId="0" fontId="5" fillId="4" borderId="1" xfId="0" applyFont="1" applyFill="1" applyBorder="1" applyAlignment="1">
      <alignment vertical="top" wrapText="1"/>
    </xf>
    <xf numFmtId="3" fontId="8" fillId="5" borderId="1" xfId="0" applyNumberFormat="1" applyFont="1" applyFill="1" applyBorder="1" applyAlignment="1">
      <alignment vertical="top" wrapText="1"/>
    </xf>
    <xf numFmtId="0" fontId="5" fillId="5" borderId="1" xfId="0" applyFont="1" applyFill="1" applyBorder="1" applyAlignment="1">
      <alignment vertical="top" wrapText="1"/>
    </xf>
    <xf numFmtId="4" fontId="8" fillId="4" borderId="1" xfId="0" applyNumberFormat="1" applyFont="1" applyFill="1" applyBorder="1" applyAlignment="1">
      <alignment vertical="top" wrapText="1"/>
    </xf>
    <xf numFmtId="4" fontId="8" fillId="5" borderId="1" xfId="0" applyNumberFormat="1" applyFont="1" applyFill="1" applyBorder="1" applyAlignment="1">
      <alignment vertical="top" wrapText="1"/>
    </xf>
    <xf numFmtId="164" fontId="5" fillId="4" borderId="1" xfId="0" applyNumberFormat="1" applyFont="1" applyFill="1" applyBorder="1" applyAlignment="1">
      <alignment vertical="top" wrapText="1"/>
    </xf>
    <xf numFmtId="2" fontId="8" fillId="6" borderId="1" xfId="0" applyNumberFormat="1" applyFont="1" applyFill="1" applyBorder="1" applyAlignment="1">
      <alignment vertical="top" wrapText="1"/>
    </xf>
    <xf numFmtId="3" fontId="8" fillId="0" borderId="1" xfId="0" applyNumberFormat="1" applyFont="1" applyBorder="1" applyAlignment="1">
      <alignment vertical="top" wrapText="1"/>
    </xf>
    <xf numFmtId="4" fontId="5" fillId="0" borderId="1" xfId="0" applyNumberFormat="1" applyFont="1" applyBorder="1" applyAlignment="1">
      <alignment vertical="top" wrapText="1"/>
    </xf>
    <xf numFmtId="4" fontId="8" fillId="0" borderId="1" xfId="0" applyNumberFormat="1" applyFont="1" applyBorder="1" applyAlignment="1">
      <alignment vertical="top" wrapText="1"/>
    </xf>
    <xf numFmtId="0" fontId="7" fillId="3" borderId="0" xfId="0" applyFont="1" applyFill="1"/>
    <xf numFmtId="165" fontId="8" fillId="0" borderId="1" xfId="0" applyNumberFormat="1" applyFont="1" applyBorder="1" applyAlignment="1">
      <alignment vertical="top" wrapText="1"/>
    </xf>
    <xf numFmtId="165" fontId="5" fillId="0" borderId="1" xfId="0" applyNumberFormat="1" applyFont="1" applyBorder="1" applyAlignment="1">
      <alignment vertical="top" wrapText="1"/>
    </xf>
    <xf numFmtId="166" fontId="5" fillId="0" borderId="1" xfId="0" applyNumberFormat="1" applyFont="1" applyBorder="1" applyAlignment="1">
      <alignment vertical="top" wrapText="1"/>
    </xf>
    <xf numFmtId="167" fontId="8" fillId="0" borderId="1" xfId="0" applyNumberFormat="1" applyFont="1" applyBorder="1" applyAlignment="1">
      <alignment vertical="top" wrapText="1"/>
    </xf>
    <xf numFmtId="2" fontId="5" fillId="0" borderId="1" xfId="0" applyNumberFormat="1" applyFont="1" applyBorder="1" applyAlignment="1">
      <alignment vertical="top" wrapText="1"/>
    </xf>
    <xf numFmtId="3" fontId="5" fillId="0" borderId="1" xfId="0" applyNumberFormat="1" applyFont="1" applyBorder="1" applyAlignment="1">
      <alignment vertical="top" wrapText="1"/>
    </xf>
    <xf numFmtId="168" fontId="9" fillId="0" borderId="1" xfId="0" applyNumberFormat="1" applyFont="1" applyBorder="1" applyAlignment="1">
      <alignment vertical="top" wrapText="1"/>
    </xf>
    <xf numFmtId="169" fontId="5" fillId="0" borderId="1" xfId="0" applyNumberFormat="1" applyFont="1" applyBorder="1" applyAlignment="1">
      <alignment vertical="top" wrapText="1"/>
    </xf>
    <xf numFmtId="170" fontId="5" fillId="0" borderId="1" xfId="0" applyNumberFormat="1" applyFont="1" applyBorder="1" applyAlignment="1">
      <alignment vertical="top" wrapText="1"/>
    </xf>
    <xf numFmtId="171" fontId="8" fillId="0" borderId="1" xfId="0" applyNumberFormat="1" applyFont="1" applyBorder="1" applyAlignment="1">
      <alignment vertical="top" wrapText="1"/>
    </xf>
    <xf numFmtId="167" fontId="8" fillId="6" borderId="1" xfId="0" applyNumberFormat="1" applyFont="1" applyFill="1" applyBorder="1" applyAlignment="1">
      <alignment vertical="top" wrapText="1"/>
    </xf>
    <xf numFmtId="3" fontId="8" fillId="6" borderId="1" xfId="0" applyNumberFormat="1" applyFont="1" applyFill="1" applyBorder="1" applyAlignment="1">
      <alignment vertical="top" wrapText="1"/>
    </xf>
    <xf numFmtId="4" fontId="8" fillId="6" borderId="1" xfId="0" applyNumberFormat="1" applyFont="1" applyFill="1" applyBorder="1" applyAlignment="1">
      <alignment vertical="top" wrapText="1"/>
    </xf>
    <xf numFmtId="3" fontId="5" fillId="0" borderId="1" xfId="0" applyNumberFormat="1" applyFont="1" applyBorder="1"/>
    <xf numFmtId="2" fontId="9" fillId="6" borderId="1" xfId="0" applyNumberFormat="1" applyFont="1" applyFill="1" applyBorder="1"/>
    <xf numFmtId="165" fontId="5" fillId="0" borderId="1" xfId="0" applyNumberFormat="1" applyFont="1" applyBorder="1"/>
    <xf numFmtId="169" fontId="4" fillId="0" borderId="1" xfId="0" applyNumberFormat="1" applyFont="1" applyBorder="1" applyAlignment="1">
      <alignment vertical="top" wrapText="1"/>
    </xf>
    <xf numFmtId="169" fontId="8" fillId="0" borderId="1" xfId="0" applyNumberFormat="1" applyFont="1" applyBorder="1" applyAlignment="1">
      <alignment vertical="top" wrapText="1"/>
    </xf>
    <xf numFmtId="172" fontId="5" fillId="0" borderId="1" xfId="0" applyNumberFormat="1" applyFont="1" applyBorder="1" applyAlignment="1">
      <alignment vertical="top" wrapText="1"/>
    </xf>
    <xf numFmtId="0" fontId="4" fillId="7" borderId="1" xfId="0" applyFont="1" applyFill="1" applyBorder="1" applyAlignment="1">
      <alignment vertical="top" wrapText="1"/>
    </xf>
    <xf numFmtId="169" fontId="4" fillId="7" borderId="1" xfId="0" applyNumberFormat="1" applyFont="1" applyFill="1" applyBorder="1" applyAlignment="1">
      <alignment vertical="top" wrapText="1"/>
    </xf>
    <xf numFmtId="172" fontId="4" fillId="7" borderId="1" xfId="0" applyNumberFormat="1" applyFont="1" applyFill="1" applyBorder="1" applyAlignment="1">
      <alignment vertical="top" wrapText="1"/>
    </xf>
    <xf numFmtId="0" fontId="5" fillId="7" borderId="1" xfId="0" applyFont="1" applyFill="1" applyBorder="1" applyAlignment="1">
      <alignment vertical="top" wrapText="1"/>
    </xf>
    <xf numFmtId="0" fontId="10" fillId="0" borderId="0" xfId="0" applyFont="1"/>
    <xf numFmtId="173" fontId="8" fillId="0" borderId="1" xfId="0" applyNumberFormat="1" applyFont="1" applyBorder="1" applyAlignment="1">
      <alignment vertical="top" wrapText="1"/>
    </xf>
    <xf numFmtId="0" fontId="4" fillId="5" borderId="1" xfId="0" applyFont="1" applyFill="1" applyBorder="1" applyAlignment="1">
      <alignment vertical="top" wrapText="1"/>
    </xf>
    <xf numFmtId="9" fontId="8" fillId="0" borderId="1" xfId="0" applyNumberFormat="1" applyFont="1" applyBorder="1" applyAlignment="1">
      <alignment vertical="top" wrapText="1"/>
    </xf>
    <xf numFmtId="174" fontId="5" fillId="0" borderId="1" xfId="0" applyNumberFormat="1" applyFont="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3" fontId="4" fillId="7" borderId="1" xfId="0" applyNumberFormat="1" applyFont="1" applyFill="1" applyBorder="1" applyAlignment="1">
      <alignment vertical="top" wrapText="1"/>
    </xf>
    <xf numFmtId="4" fontId="4" fillId="7" borderId="1" xfId="0" applyNumberFormat="1" applyFont="1" applyFill="1" applyBorder="1" applyAlignment="1">
      <alignment vertical="top" wrapText="1"/>
    </xf>
    <xf numFmtId="175" fontId="5" fillId="0" borderId="1" xfId="0" applyNumberFormat="1" applyFont="1" applyBorder="1" applyAlignment="1">
      <alignment vertical="top" wrapText="1"/>
    </xf>
    <xf numFmtId="175" fontId="8" fillId="0" borderId="1" xfId="0" applyNumberFormat="1" applyFont="1" applyBorder="1" applyAlignment="1">
      <alignment vertical="top" wrapText="1"/>
    </xf>
    <xf numFmtId="0" fontId="5" fillId="10" borderId="1" xfId="0" applyFont="1" applyFill="1" applyBorder="1" applyAlignment="1">
      <alignment vertical="top" wrapText="1"/>
    </xf>
    <xf numFmtId="0" fontId="5" fillId="11" borderId="1" xfId="0" applyFont="1" applyFill="1" applyBorder="1" applyAlignment="1">
      <alignment vertical="top" wrapText="1"/>
    </xf>
    <xf numFmtId="0" fontId="5" fillId="12" borderId="1" xfId="0" applyFont="1" applyFill="1" applyBorder="1" applyAlignment="1">
      <alignment vertical="top" wrapText="1"/>
    </xf>
    <xf numFmtId="9" fontId="4" fillId="0" borderId="1" xfId="0" applyNumberFormat="1" applyFont="1" applyBorder="1" applyAlignment="1">
      <alignment vertical="top" wrapText="1"/>
    </xf>
    <xf numFmtId="9" fontId="5"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2EFDA"/>
      <rgbColor rgb="FFDDEBF7"/>
      <rgbColor rgb="FF660066"/>
      <rgbColor rgb="FFFF8080"/>
      <rgbColor rgb="FF0066CC"/>
      <rgbColor rgb="FFD9E1F2"/>
      <rgbColor rgb="FF000080"/>
      <rgbColor rgb="FFFF00FF"/>
      <rgbColor rgb="FFFFE699"/>
      <rgbColor rgb="FF00FFFF"/>
      <rgbColor rgb="FF800080"/>
      <rgbColor rgb="FF800000"/>
      <rgbColor rgb="FF008080"/>
      <rgbColor rgb="FF0000FF"/>
      <rgbColor rgb="FF00CCFF"/>
      <rgbColor rgb="FFFCE4D6"/>
      <rgbColor rgb="FFC6EFCE"/>
      <rgbColor rgb="FFFFEB9C"/>
      <rgbColor rgb="FF99CCFF"/>
      <rgbColor rgb="FFFFC7CE"/>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tabSelected="1" zoomScaleNormal="100" workbookViewId="0">
      <selection activeCell="E4" sqref="E4"/>
    </sheetView>
  </sheetViews>
  <sheetFormatPr baseColWidth="10" defaultColWidth="8.6640625" defaultRowHeight="15" x14ac:dyDescent="0.2"/>
  <cols>
    <col min="1" max="1" width="26" customWidth="1"/>
    <col min="2" max="2" width="120" customWidth="1"/>
  </cols>
  <sheetData>
    <row r="1" spans="1:2" ht="18" x14ac:dyDescent="0.2">
      <c r="A1" s="1" t="s">
        <v>0</v>
      </c>
    </row>
    <row r="2" spans="1:2" x14ac:dyDescent="0.2">
      <c r="A2" s="2" t="s">
        <v>1</v>
      </c>
    </row>
    <row r="4" spans="1:2" ht="45" customHeight="1" x14ac:dyDescent="0.2">
      <c r="A4" s="3" t="s">
        <v>2</v>
      </c>
      <c r="B4" s="4" t="s">
        <v>3</v>
      </c>
    </row>
    <row r="5" spans="1:2" ht="75" customHeight="1" x14ac:dyDescent="0.2">
      <c r="A5" s="3" t="s">
        <v>4</v>
      </c>
      <c r="B5" s="4" t="s">
        <v>5</v>
      </c>
    </row>
    <row r="6" spans="1:2" ht="120" customHeight="1" x14ac:dyDescent="0.2">
      <c r="A6" s="3" t="s">
        <v>6</v>
      </c>
      <c r="B6" s="4" t="s">
        <v>7</v>
      </c>
    </row>
    <row r="7" spans="1:2" ht="195" customHeight="1" x14ac:dyDescent="0.2">
      <c r="A7" s="3" t="s">
        <v>8</v>
      </c>
      <c r="B7" s="4" t="s">
        <v>9</v>
      </c>
    </row>
    <row r="8" spans="1:2" ht="45" customHeight="1" x14ac:dyDescent="0.2">
      <c r="A8" s="3" t="s">
        <v>10</v>
      </c>
      <c r="B8" s="4" t="s">
        <v>11</v>
      </c>
    </row>
    <row r="9" spans="1:2" ht="45" customHeight="1" x14ac:dyDescent="0.2">
      <c r="A9" s="3" t="s">
        <v>12</v>
      </c>
      <c r="B9" s="4" t="s">
        <v>13</v>
      </c>
    </row>
    <row r="10" spans="1:2" ht="150" customHeight="1" x14ac:dyDescent="0.2">
      <c r="A10" s="3" t="s">
        <v>14</v>
      </c>
      <c r="B10" s="4"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baseColWidth="10" defaultColWidth="8.6640625" defaultRowHeight="15" x14ac:dyDescent="0.2"/>
  <cols>
    <col min="1" max="1" width="30" customWidth="1"/>
    <col min="2" max="4" width="34" customWidth="1"/>
    <col min="5" max="5" width="18" customWidth="1"/>
    <col min="6" max="6" width="13" customWidth="1"/>
    <col min="7" max="7" width="40" customWidth="1"/>
    <col min="8" max="9" width="24" customWidth="1"/>
  </cols>
  <sheetData>
    <row r="1" spans="1:9" ht="18" x14ac:dyDescent="0.2">
      <c r="A1" s="1" t="s">
        <v>16</v>
      </c>
    </row>
    <row r="2" spans="1:9" x14ac:dyDescent="0.2">
      <c r="A2" s="2" t="s">
        <v>17</v>
      </c>
    </row>
    <row r="4" spans="1:9" x14ac:dyDescent="0.2">
      <c r="A4" s="5" t="s">
        <v>18</v>
      </c>
      <c r="B4" s="6"/>
      <c r="C4" s="6"/>
      <c r="D4" s="6"/>
      <c r="E4" s="6"/>
      <c r="F4" s="6"/>
      <c r="G4" s="6"/>
      <c r="H4" s="6"/>
      <c r="I4" s="6"/>
    </row>
    <row r="5" spans="1:9" x14ac:dyDescent="0.2">
      <c r="A5" s="7" t="s">
        <v>19</v>
      </c>
      <c r="B5" s="7" t="s">
        <v>20</v>
      </c>
      <c r="C5" s="7" t="s">
        <v>21</v>
      </c>
      <c r="D5" s="7" t="s">
        <v>22</v>
      </c>
      <c r="E5" s="7" t="s">
        <v>23</v>
      </c>
      <c r="F5" s="7" t="s">
        <v>24</v>
      </c>
      <c r="G5" s="7" t="s">
        <v>25</v>
      </c>
      <c r="H5" s="7" t="s">
        <v>26</v>
      </c>
      <c r="I5" s="7" t="s">
        <v>27</v>
      </c>
    </row>
    <row r="6" spans="1:9" ht="28" x14ac:dyDescent="0.2">
      <c r="A6" s="4" t="s">
        <v>28</v>
      </c>
      <c r="B6" s="8">
        <v>2200000</v>
      </c>
      <c r="C6" s="9" t="s">
        <v>29</v>
      </c>
      <c r="D6" s="10">
        <v>1274000</v>
      </c>
      <c r="E6" s="11" t="s">
        <v>29</v>
      </c>
      <c r="F6" s="4" t="s">
        <v>30</v>
      </c>
      <c r="G6" s="4" t="s">
        <v>31</v>
      </c>
      <c r="H6" s="4" t="s">
        <v>32</v>
      </c>
      <c r="I6" s="4" t="s">
        <v>33</v>
      </c>
    </row>
    <row r="7" spans="1:9" ht="28" x14ac:dyDescent="0.2">
      <c r="A7" s="4" t="s">
        <v>34</v>
      </c>
      <c r="B7" s="8">
        <v>13630000</v>
      </c>
      <c r="C7" s="9" t="s">
        <v>29</v>
      </c>
      <c r="D7" s="10">
        <v>49000</v>
      </c>
      <c r="E7" s="11" t="s">
        <v>29</v>
      </c>
      <c r="F7" s="4" t="s">
        <v>30</v>
      </c>
      <c r="G7" s="4" t="s">
        <v>35</v>
      </c>
      <c r="H7" s="4" t="s">
        <v>32</v>
      </c>
      <c r="I7" s="4" t="s">
        <v>33</v>
      </c>
    </row>
    <row r="8" spans="1:9" ht="42" x14ac:dyDescent="0.2">
      <c r="A8" s="4" t="s">
        <v>36</v>
      </c>
      <c r="B8" s="9" t="s">
        <v>37</v>
      </c>
      <c r="C8" s="9"/>
      <c r="D8" s="10">
        <v>3311000</v>
      </c>
      <c r="E8" s="11" t="s">
        <v>29</v>
      </c>
      <c r="F8" s="4" t="s">
        <v>38</v>
      </c>
      <c r="G8" s="4" t="s">
        <v>39</v>
      </c>
      <c r="H8" s="4" t="s">
        <v>40</v>
      </c>
      <c r="I8" s="4" t="s">
        <v>41</v>
      </c>
    </row>
    <row r="9" spans="1:9" ht="28" x14ac:dyDescent="0.2">
      <c r="A9" s="4" t="s">
        <v>42</v>
      </c>
      <c r="B9" s="8">
        <v>15830000</v>
      </c>
      <c r="C9" s="9" t="s">
        <v>29</v>
      </c>
      <c r="D9" s="10">
        <v>1323000</v>
      </c>
      <c r="E9" s="11" t="s">
        <v>29</v>
      </c>
      <c r="F9" s="4" t="s">
        <v>30</v>
      </c>
      <c r="G9" s="4" t="s">
        <v>43</v>
      </c>
      <c r="H9" s="4" t="s">
        <v>32</v>
      </c>
      <c r="I9" s="4" t="s">
        <v>44</v>
      </c>
    </row>
    <row r="10" spans="1:9" ht="56" x14ac:dyDescent="0.2">
      <c r="A10" s="4" t="s">
        <v>45</v>
      </c>
      <c r="B10" s="9" t="s">
        <v>46</v>
      </c>
      <c r="C10" s="9"/>
      <c r="D10" s="10">
        <v>25053000</v>
      </c>
      <c r="E10" s="11" t="s">
        <v>29</v>
      </c>
      <c r="F10" s="4" t="s">
        <v>38</v>
      </c>
      <c r="G10" s="4" t="s">
        <v>47</v>
      </c>
      <c r="H10" s="4" t="s">
        <v>48</v>
      </c>
      <c r="I10" s="4" t="s">
        <v>49</v>
      </c>
    </row>
    <row r="11" spans="1:9" ht="28" x14ac:dyDescent="0.2">
      <c r="A11" s="4" t="s">
        <v>50</v>
      </c>
      <c r="B11" s="12">
        <v>0.20100000000000001</v>
      </c>
      <c r="C11" s="9" t="s">
        <v>51</v>
      </c>
      <c r="D11" s="13">
        <v>0.99</v>
      </c>
      <c r="E11" s="11" t="s">
        <v>51</v>
      </c>
      <c r="F11" s="4" t="s">
        <v>30</v>
      </c>
      <c r="G11" s="4" t="s">
        <v>52</v>
      </c>
      <c r="H11" s="4" t="s">
        <v>53</v>
      </c>
      <c r="I11" s="4" t="s">
        <v>54</v>
      </c>
    </row>
    <row r="12" spans="1:9" ht="28" x14ac:dyDescent="0.2">
      <c r="A12" s="4" t="s">
        <v>55</v>
      </c>
      <c r="B12" s="12">
        <v>57.8</v>
      </c>
      <c r="C12" s="9" t="s">
        <v>56</v>
      </c>
      <c r="D12" s="13">
        <v>10.199999999999999</v>
      </c>
      <c r="E12" s="11" t="s">
        <v>57</v>
      </c>
      <c r="F12" s="4" t="s">
        <v>38</v>
      </c>
      <c r="G12" s="4" t="s">
        <v>58</v>
      </c>
      <c r="H12" s="4" t="s">
        <v>32</v>
      </c>
      <c r="I12" s="4" t="s">
        <v>59</v>
      </c>
    </row>
    <row r="13" spans="1:9" x14ac:dyDescent="0.2">
      <c r="A13" s="4" t="s">
        <v>60</v>
      </c>
      <c r="B13" s="9" t="s">
        <v>61</v>
      </c>
      <c r="C13" s="9"/>
      <c r="D13" s="13">
        <v>12</v>
      </c>
      <c r="E13" s="11" t="s">
        <v>56</v>
      </c>
      <c r="F13" s="4" t="s">
        <v>62</v>
      </c>
      <c r="G13" s="4"/>
      <c r="H13" s="4" t="s">
        <v>40</v>
      </c>
      <c r="I13" s="4" t="s">
        <v>63</v>
      </c>
    </row>
    <row r="14" spans="1:9" ht="42" x14ac:dyDescent="0.2">
      <c r="A14" s="4" t="s">
        <v>64</v>
      </c>
      <c r="B14" s="12">
        <v>0.9</v>
      </c>
      <c r="C14" s="9" t="s">
        <v>65</v>
      </c>
      <c r="D14" s="13">
        <v>2.7</v>
      </c>
      <c r="E14" s="11" t="s">
        <v>66</v>
      </c>
      <c r="F14" s="4" t="s">
        <v>62</v>
      </c>
      <c r="G14" s="4" t="s">
        <v>67</v>
      </c>
      <c r="H14" s="4" t="s">
        <v>68</v>
      </c>
      <c r="I14" s="4" t="s">
        <v>69</v>
      </c>
    </row>
    <row r="15" spans="1:9" ht="56" x14ac:dyDescent="0.2">
      <c r="A15" s="4" t="s">
        <v>70</v>
      </c>
      <c r="B15" s="8">
        <v>3850</v>
      </c>
      <c r="C15" s="9" t="s">
        <v>71</v>
      </c>
      <c r="D15" s="10">
        <v>200</v>
      </c>
      <c r="E15" s="11" t="s">
        <v>72</v>
      </c>
      <c r="F15" s="4" t="s">
        <v>62</v>
      </c>
      <c r="G15" s="4" t="s">
        <v>73</v>
      </c>
      <c r="H15" s="4" t="s">
        <v>68</v>
      </c>
      <c r="I15" s="4" t="s">
        <v>69</v>
      </c>
    </row>
    <row r="16" spans="1:9" ht="28" x14ac:dyDescent="0.2">
      <c r="A16" s="4" t="s">
        <v>74</v>
      </c>
      <c r="B16" s="8">
        <v>-120105</v>
      </c>
      <c r="C16" s="9" t="s">
        <v>75</v>
      </c>
      <c r="D16" s="11" t="s">
        <v>76</v>
      </c>
      <c r="E16" s="11"/>
      <c r="F16" s="4" t="s">
        <v>62</v>
      </c>
      <c r="G16" s="4" t="s">
        <v>77</v>
      </c>
      <c r="H16" s="4" t="s">
        <v>78</v>
      </c>
      <c r="I16" s="4" t="s">
        <v>40</v>
      </c>
    </row>
    <row r="17" spans="1:9" ht="28" x14ac:dyDescent="0.2">
      <c r="A17" s="4" t="s">
        <v>79</v>
      </c>
      <c r="B17" s="8">
        <v>41681</v>
      </c>
      <c r="C17" s="9" t="s">
        <v>75</v>
      </c>
      <c r="D17" s="11" t="s">
        <v>76</v>
      </c>
      <c r="E17" s="11"/>
      <c r="F17" s="4" t="s">
        <v>62</v>
      </c>
      <c r="G17" s="4" t="s">
        <v>80</v>
      </c>
      <c r="H17" s="4" t="s">
        <v>81</v>
      </c>
      <c r="I17" s="4" t="s">
        <v>40</v>
      </c>
    </row>
    <row r="18" spans="1:9" ht="28" x14ac:dyDescent="0.2">
      <c r="A18" s="4" t="s">
        <v>82</v>
      </c>
      <c r="B18" s="8">
        <v>7588</v>
      </c>
      <c r="C18" s="9" t="s">
        <v>83</v>
      </c>
      <c r="D18" s="11" t="s">
        <v>84</v>
      </c>
      <c r="E18" s="11"/>
      <c r="F18" s="4" t="s">
        <v>62</v>
      </c>
      <c r="G18" s="4" t="s">
        <v>85</v>
      </c>
      <c r="H18" s="4" t="s">
        <v>86</v>
      </c>
      <c r="I18" s="4" t="s">
        <v>40</v>
      </c>
    </row>
    <row r="19" spans="1:9" ht="28" x14ac:dyDescent="0.2">
      <c r="A19" s="4" t="s">
        <v>87</v>
      </c>
      <c r="B19" s="9" t="s">
        <v>88</v>
      </c>
      <c r="C19" s="9"/>
      <c r="D19" s="11" t="s">
        <v>89</v>
      </c>
      <c r="E19" s="11"/>
      <c r="F19" s="4" t="s">
        <v>38</v>
      </c>
      <c r="G19" s="4" t="s">
        <v>90</v>
      </c>
      <c r="H19" s="4" t="s">
        <v>91</v>
      </c>
      <c r="I19" s="4" t="s">
        <v>69</v>
      </c>
    </row>
    <row r="20" spans="1:9" ht="42" x14ac:dyDescent="0.2">
      <c r="A20" s="4" t="s">
        <v>92</v>
      </c>
      <c r="B20" s="9" t="s">
        <v>93</v>
      </c>
      <c r="C20" s="9"/>
      <c r="D20" s="11" t="s">
        <v>94</v>
      </c>
      <c r="E20" s="11"/>
      <c r="F20" s="4" t="s">
        <v>30</v>
      </c>
      <c r="G20" s="4" t="s">
        <v>95</v>
      </c>
      <c r="H20" s="4" t="s">
        <v>96</v>
      </c>
      <c r="I20" s="4" t="s">
        <v>97</v>
      </c>
    </row>
    <row r="21" spans="1:9" ht="28" x14ac:dyDescent="0.2">
      <c r="A21" s="4" t="s">
        <v>98</v>
      </c>
      <c r="B21" s="9" t="s">
        <v>99</v>
      </c>
      <c r="C21" s="9"/>
      <c r="D21" s="11" t="s">
        <v>100</v>
      </c>
      <c r="E21" s="11"/>
      <c r="F21" s="4" t="s">
        <v>62</v>
      </c>
      <c r="G21" s="4" t="s">
        <v>101</v>
      </c>
      <c r="H21" s="4" t="s">
        <v>91</v>
      </c>
      <c r="I21" s="4" t="s">
        <v>102</v>
      </c>
    </row>
    <row r="23" spans="1:9" x14ac:dyDescent="0.2">
      <c r="A23" s="5" t="s">
        <v>103</v>
      </c>
      <c r="B23" s="6"/>
      <c r="C23" s="6"/>
      <c r="D23" s="6"/>
      <c r="E23" s="6"/>
      <c r="F23" s="6"/>
      <c r="G23" s="6"/>
      <c r="H23" s="6"/>
      <c r="I23" s="6"/>
    </row>
    <row r="24" spans="1:9" ht="28" x14ac:dyDescent="0.2">
      <c r="A24" s="7" t="s">
        <v>104</v>
      </c>
      <c r="B24" s="7" t="s">
        <v>105</v>
      </c>
      <c r="C24" s="7" t="s">
        <v>106</v>
      </c>
      <c r="D24" s="7" t="s">
        <v>107</v>
      </c>
    </row>
    <row r="25" spans="1:9" ht="70" x14ac:dyDescent="0.2">
      <c r="A25" s="4" t="s">
        <v>108</v>
      </c>
      <c r="B25" s="9" t="s">
        <v>109</v>
      </c>
      <c r="C25" s="11" t="s">
        <v>110</v>
      </c>
      <c r="D25" s="4" t="s">
        <v>111</v>
      </c>
    </row>
    <row r="26" spans="1:9" ht="56" x14ac:dyDescent="0.2">
      <c r="A26" s="4" t="s">
        <v>112</v>
      </c>
      <c r="B26" s="9" t="s">
        <v>113</v>
      </c>
      <c r="C26" s="11" t="s">
        <v>114</v>
      </c>
      <c r="D26" s="4" t="s">
        <v>115</v>
      </c>
    </row>
    <row r="27" spans="1:9" ht="42" x14ac:dyDescent="0.2">
      <c r="A27" s="4" t="s">
        <v>116</v>
      </c>
      <c r="B27" s="9" t="s">
        <v>117</v>
      </c>
      <c r="C27" s="11" t="s">
        <v>118</v>
      </c>
      <c r="D27" s="4" t="s">
        <v>119</v>
      </c>
    </row>
    <row r="28" spans="1:9" ht="42" x14ac:dyDescent="0.2">
      <c r="A28" s="4" t="s">
        <v>120</v>
      </c>
      <c r="B28" s="9" t="s">
        <v>121</v>
      </c>
      <c r="C28" s="11" t="s">
        <v>122</v>
      </c>
      <c r="D28" s="4" t="s">
        <v>123</v>
      </c>
    </row>
    <row r="29" spans="1:9" ht="42" x14ac:dyDescent="0.2">
      <c r="A29" s="4" t="s">
        <v>124</v>
      </c>
      <c r="B29" s="9" t="s">
        <v>125</v>
      </c>
      <c r="C29" s="11" t="s">
        <v>126</v>
      </c>
      <c r="D29" s="4" t="s">
        <v>127</v>
      </c>
    </row>
    <row r="30" spans="1:9" ht="56" x14ac:dyDescent="0.2">
      <c r="A30" s="4" t="s">
        <v>128</v>
      </c>
      <c r="B30" s="9" t="s">
        <v>129</v>
      </c>
      <c r="C30" s="11" t="s">
        <v>130</v>
      </c>
      <c r="D30" s="4" t="s">
        <v>131</v>
      </c>
    </row>
    <row r="31" spans="1:9" ht="42" x14ac:dyDescent="0.2">
      <c r="A31" s="4" t="s">
        <v>132</v>
      </c>
      <c r="B31" s="9" t="s">
        <v>133</v>
      </c>
      <c r="C31" s="11" t="s">
        <v>134</v>
      </c>
      <c r="D31" s="4" t="s">
        <v>135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baseColWidth="10" defaultColWidth="8.6640625" defaultRowHeight="15" x14ac:dyDescent="0.2"/>
  <cols>
    <col min="1" max="1" width="30" customWidth="1"/>
    <col min="2" max="4" width="34" customWidth="1"/>
    <col min="5" max="5" width="18" customWidth="1"/>
    <col min="6" max="6" width="13" customWidth="1"/>
    <col min="7" max="7" width="40" customWidth="1"/>
    <col min="8" max="9" width="24" customWidth="1"/>
  </cols>
  <sheetData>
    <row r="1" spans="1:9" ht="18" x14ac:dyDescent="0.2">
      <c r="A1" s="1" t="s">
        <v>136</v>
      </c>
    </row>
    <row r="2" spans="1:9" x14ac:dyDescent="0.2">
      <c r="A2" s="2" t="s">
        <v>137</v>
      </c>
    </row>
    <row r="4" spans="1:9" x14ac:dyDescent="0.2">
      <c r="A4" s="5" t="s">
        <v>18</v>
      </c>
      <c r="B4" s="6"/>
      <c r="C4" s="6"/>
      <c r="D4" s="6"/>
      <c r="E4" s="6"/>
      <c r="F4" s="6"/>
      <c r="G4" s="6"/>
      <c r="H4" s="6"/>
      <c r="I4" s="6"/>
    </row>
    <row r="5" spans="1:9" x14ac:dyDescent="0.2">
      <c r="A5" s="7" t="s">
        <v>19</v>
      </c>
      <c r="B5" s="7" t="s">
        <v>20</v>
      </c>
      <c r="C5" s="7" t="s">
        <v>21</v>
      </c>
      <c r="D5" s="7" t="s">
        <v>22</v>
      </c>
      <c r="E5" s="7" t="s">
        <v>23</v>
      </c>
      <c r="F5" s="7" t="s">
        <v>24</v>
      </c>
      <c r="G5" s="7" t="s">
        <v>25</v>
      </c>
      <c r="H5" s="7" t="s">
        <v>26</v>
      </c>
      <c r="I5" s="7" t="s">
        <v>27</v>
      </c>
    </row>
    <row r="6" spans="1:9" ht="28" x14ac:dyDescent="0.2">
      <c r="A6" s="4" t="s">
        <v>138</v>
      </c>
      <c r="B6" s="8">
        <v>127</v>
      </c>
      <c r="C6" s="9" t="s">
        <v>139</v>
      </c>
      <c r="D6" s="13">
        <v>42.115000000000002</v>
      </c>
      <c r="E6" s="11" t="s">
        <v>140</v>
      </c>
      <c r="F6" s="4" t="s">
        <v>30</v>
      </c>
      <c r="G6" s="4" t="s">
        <v>141</v>
      </c>
      <c r="H6" s="4" t="s">
        <v>142</v>
      </c>
      <c r="I6" s="4" t="s">
        <v>143</v>
      </c>
    </row>
    <row r="7" spans="1:9" ht="28" x14ac:dyDescent="0.2">
      <c r="A7" s="4" t="s">
        <v>144</v>
      </c>
      <c r="B7" s="9" t="s">
        <v>145</v>
      </c>
      <c r="C7" s="9"/>
      <c r="D7" s="13">
        <v>46.615000000000002</v>
      </c>
      <c r="E7" s="11" t="s">
        <v>146</v>
      </c>
      <c r="F7" s="4" t="s">
        <v>62</v>
      </c>
      <c r="G7" s="4"/>
      <c r="H7" s="4" t="s">
        <v>40</v>
      </c>
      <c r="I7" s="4" t="s">
        <v>147</v>
      </c>
    </row>
    <row r="8" spans="1:9" ht="28" x14ac:dyDescent="0.2">
      <c r="A8" s="4" t="s">
        <v>148</v>
      </c>
      <c r="B8" s="9" t="s">
        <v>145</v>
      </c>
      <c r="C8" s="9"/>
      <c r="D8" s="13">
        <v>11.298</v>
      </c>
      <c r="E8" s="11" t="s">
        <v>149</v>
      </c>
      <c r="F8" s="4" t="s">
        <v>62</v>
      </c>
      <c r="G8" s="4" t="s">
        <v>150</v>
      </c>
      <c r="H8" s="4" t="s">
        <v>40</v>
      </c>
      <c r="I8" s="4" t="s">
        <v>147</v>
      </c>
    </row>
    <row r="9" spans="1:9" ht="28" x14ac:dyDescent="0.2">
      <c r="A9" s="4" t="s">
        <v>151</v>
      </c>
      <c r="B9" s="8">
        <v>98</v>
      </c>
      <c r="C9" s="9" t="s">
        <v>152</v>
      </c>
      <c r="D9" s="13">
        <v>35.317</v>
      </c>
      <c r="E9" s="11" t="s">
        <v>153</v>
      </c>
      <c r="F9" s="4" t="s">
        <v>38</v>
      </c>
      <c r="G9" s="4" t="s">
        <v>154</v>
      </c>
      <c r="H9" s="4" t="s">
        <v>155</v>
      </c>
      <c r="I9" s="4" t="s">
        <v>143</v>
      </c>
    </row>
    <row r="10" spans="1:9" ht="28" x14ac:dyDescent="0.2">
      <c r="A10" s="4" t="s">
        <v>156</v>
      </c>
      <c r="B10" s="8">
        <v>319</v>
      </c>
      <c r="C10" s="9" t="s">
        <v>157</v>
      </c>
      <c r="D10" s="13">
        <v>42.347999999999999</v>
      </c>
      <c r="E10" s="11" t="s">
        <v>158</v>
      </c>
      <c r="F10" s="4" t="s">
        <v>38</v>
      </c>
      <c r="G10" s="4" t="s">
        <v>159</v>
      </c>
      <c r="H10" s="4" t="s">
        <v>142</v>
      </c>
      <c r="I10" s="4" t="s">
        <v>160</v>
      </c>
    </row>
    <row r="11" spans="1:9" ht="28" x14ac:dyDescent="0.2">
      <c r="A11" s="4" t="s">
        <v>161</v>
      </c>
      <c r="B11" s="12">
        <v>22.7</v>
      </c>
      <c r="C11" s="9" t="s">
        <v>149</v>
      </c>
      <c r="D11" s="13">
        <v>1.341</v>
      </c>
      <c r="E11" s="11" t="s">
        <v>162</v>
      </c>
      <c r="F11" s="4" t="s">
        <v>30</v>
      </c>
      <c r="G11" s="4" t="s">
        <v>163</v>
      </c>
      <c r="H11" s="4" t="s">
        <v>142</v>
      </c>
      <c r="I11" s="4" t="s">
        <v>147</v>
      </c>
    </row>
    <row r="12" spans="1:9" x14ac:dyDescent="0.2">
      <c r="A12" s="4" t="s">
        <v>164</v>
      </c>
      <c r="B12" s="12">
        <v>0.18</v>
      </c>
      <c r="C12" s="9" t="s">
        <v>165</v>
      </c>
      <c r="D12" s="11" t="s">
        <v>76</v>
      </c>
      <c r="E12" s="11"/>
      <c r="F12" s="4" t="s">
        <v>62</v>
      </c>
      <c r="G12" s="4"/>
      <c r="H12" s="4" t="s">
        <v>166</v>
      </c>
      <c r="I12" s="4" t="s">
        <v>40</v>
      </c>
    </row>
    <row r="13" spans="1:9" ht="28" x14ac:dyDescent="0.2">
      <c r="A13" s="4" t="s">
        <v>167</v>
      </c>
      <c r="B13" s="9" t="s">
        <v>168</v>
      </c>
      <c r="C13" s="9"/>
      <c r="D13" s="13">
        <v>10.337999999999999</v>
      </c>
      <c r="E13" s="11" t="s">
        <v>169</v>
      </c>
      <c r="F13" s="4" t="s">
        <v>62</v>
      </c>
      <c r="G13" s="4"/>
      <c r="H13" s="4" t="s">
        <v>170</v>
      </c>
      <c r="I13" s="4" t="s">
        <v>160</v>
      </c>
    </row>
    <row r="14" spans="1:9" ht="42" x14ac:dyDescent="0.2">
      <c r="A14" s="4" t="s">
        <v>171</v>
      </c>
      <c r="B14" s="12">
        <v>0.21</v>
      </c>
      <c r="C14" s="9" t="s">
        <v>172</v>
      </c>
      <c r="D14" s="13">
        <v>1.03</v>
      </c>
      <c r="E14" s="11" t="s">
        <v>173</v>
      </c>
      <c r="F14" s="4" t="s">
        <v>62</v>
      </c>
      <c r="G14" s="4" t="s">
        <v>174</v>
      </c>
      <c r="H14" s="4" t="s">
        <v>175</v>
      </c>
      <c r="I14" s="4" t="s">
        <v>176</v>
      </c>
    </row>
    <row r="15" spans="1:9" ht="28" x14ac:dyDescent="0.2">
      <c r="A15" s="4" t="s">
        <v>177</v>
      </c>
      <c r="B15" s="9" t="s">
        <v>178</v>
      </c>
      <c r="C15" s="9"/>
      <c r="D15" s="11" t="s">
        <v>179</v>
      </c>
      <c r="E15" s="11"/>
      <c r="F15" s="4" t="s">
        <v>62</v>
      </c>
      <c r="G15" s="4" t="s">
        <v>180</v>
      </c>
      <c r="H15" s="4" t="s">
        <v>175</v>
      </c>
      <c r="I15" s="4" t="s">
        <v>181</v>
      </c>
    </row>
    <row r="16" spans="1:9" x14ac:dyDescent="0.2">
      <c r="A16" s="4" t="s">
        <v>182</v>
      </c>
      <c r="B16" s="9" t="s">
        <v>183</v>
      </c>
      <c r="C16" s="9"/>
      <c r="D16" s="11" t="s">
        <v>76</v>
      </c>
      <c r="E16" s="11"/>
      <c r="F16" s="4" t="s">
        <v>62</v>
      </c>
      <c r="G16" s="4" t="s">
        <v>184</v>
      </c>
      <c r="H16" s="4" t="s">
        <v>185</v>
      </c>
      <c r="I16" s="4" t="s">
        <v>40</v>
      </c>
    </row>
    <row r="17" spans="1:9" x14ac:dyDescent="0.2">
      <c r="A17" s="4" t="s">
        <v>186</v>
      </c>
      <c r="B17" s="8">
        <v>10</v>
      </c>
      <c r="C17" s="9" t="s">
        <v>187</v>
      </c>
      <c r="D17" s="11" t="s">
        <v>76</v>
      </c>
      <c r="E17" s="11"/>
      <c r="F17" s="4" t="s">
        <v>62</v>
      </c>
      <c r="G17" s="4"/>
      <c r="H17" s="4" t="s">
        <v>142</v>
      </c>
      <c r="I17" s="4" t="s">
        <v>40</v>
      </c>
    </row>
    <row r="18" spans="1:9" ht="28" x14ac:dyDescent="0.2">
      <c r="A18" s="4" t="s">
        <v>188</v>
      </c>
      <c r="B18" s="12">
        <v>16.5</v>
      </c>
      <c r="C18" s="9" t="s">
        <v>189</v>
      </c>
      <c r="D18" s="11" t="s">
        <v>76</v>
      </c>
      <c r="E18" s="11"/>
      <c r="F18" s="4" t="s">
        <v>62</v>
      </c>
      <c r="G18" s="4"/>
      <c r="H18" s="4" t="s">
        <v>155</v>
      </c>
      <c r="I18" s="4" t="s">
        <v>40</v>
      </c>
    </row>
    <row r="19" spans="1:9" ht="28" x14ac:dyDescent="0.2">
      <c r="A19" s="4" t="s">
        <v>190</v>
      </c>
      <c r="B19" s="9" t="s">
        <v>191</v>
      </c>
      <c r="C19" s="9"/>
      <c r="D19" s="11" t="s">
        <v>192</v>
      </c>
      <c r="E19" s="11"/>
      <c r="F19" s="4" t="s">
        <v>38</v>
      </c>
      <c r="G19" s="4" t="s">
        <v>193</v>
      </c>
      <c r="H19" s="4" t="s">
        <v>170</v>
      </c>
      <c r="I19" s="4" t="s">
        <v>143</v>
      </c>
    </row>
    <row r="20" spans="1:9" ht="28" x14ac:dyDescent="0.2">
      <c r="A20" s="4" t="s">
        <v>194</v>
      </c>
      <c r="B20" s="8">
        <v>-5709</v>
      </c>
      <c r="C20" s="9" t="s">
        <v>75</v>
      </c>
      <c r="D20" s="11" t="s">
        <v>76</v>
      </c>
      <c r="E20" s="11"/>
      <c r="F20" s="4" t="s">
        <v>62</v>
      </c>
      <c r="G20" s="4"/>
      <c r="H20" s="4" t="s">
        <v>195</v>
      </c>
      <c r="I20" s="4" t="s">
        <v>40</v>
      </c>
    </row>
    <row r="21" spans="1:9" ht="28" x14ac:dyDescent="0.2">
      <c r="A21" s="4" t="s">
        <v>196</v>
      </c>
      <c r="B21" s="8">
        <v>-573</v>
      </c>
      <c r="C21" s="9" t="s">
        <v>75</v>
      </c>
      <c r="D21" s="11" t="s">
        <v>76</v>
      </c>
      <c r="E21" s="11"/>
      <c r="F21" s="4" t="s">
        <v>62</v>
      </c>
      <c r="G21" s="4"/>
      <c r="H21" s="4" t="s">
        <v>155</v>
      </c>
      <c r="I21" s="4" t="s">
        <v>40</v>
      </c>
    </row>
    <row r="22" spans="1:9" ht="28" x14ac:dyDescent="0.2">
      <c r="A22" s="4" t="s">
        <v>197</v>
      </c>
      <c r="B22" s="8">
        <v>16151</v>
      </c>
      <c r="C22" s="9" t="s">
        <v>75</v>
      </c>
      <c r="D22" s="11" t="s">
        <v>76</v>
      </c>
      <c r="E22" s="11"/>
      <c r="F22" s="4" t="s">
        <v>62</v>
      </c>
      <c r="G22" s="4" t="s">
        <v>198</v>
      </c>
      <c r="H22" s="4" t="s">
        <v>199</v>
      </c>
      <c r="I22" s="4" t="s">
        <v>40</v>
      </c>
    </row>
    <row r="23" spans="1:9" ht="42" x14ac:dyDescent="0.2">
      <c r="A23" s="4" t="s">
        <v>200</v>
      </c>
      <c r="B23" s="9" t="s">
        <v>201</v>
      </c>
      <c r="C23" s="9"/>
      <c r="D23" s="11" t="s">
        <v>202</v>
      </c>
      <c r="E23" s="11"/>
      <c r="F23" s="4" t="s">
        <v>38</v>
      </c>
      <c r="G23" s="4"/>
      <c r="H23" s="4" t="s">
        <v>203</v>
      </c>
      <c r="I23" s="4" t="s">
        <v>181</v>
      </c>
    </row>
    <row r="25" spans="1:9" x14ac:dyDescent="0.2">
      <c r="A25" s="5" t="s">
        <v>103</v>
      </c>
      <c r="B25" s="6"/>
      <c r="C25" s="6"/>
      <c r="D25" s="6"/>
      <c r="E25" s="6"/>
      <c r="F25" s="6"/>
      <c r="G25" s="6"/>
      <c r="H25" s="6"/>
      <c r="I25" s="6"/>
    </row>
    <row r="26" spans="1:9" ht="28" x14ac:dyDescent="0.2">
      <c r="A26" s="7" t="s">
        <v>104</v>
      </c>
      <c r="B26" s="7" t="s">
        <v>105</v>
      </c>
      <c r="C26" s="7" t="s">
        <v>106</v>
      </c>
      <c r="D26" s="7" t="s">
        <v>107</v>
      </c>
    </row>
    <row r="27" spans="1:9" ht="126" x14ac:dyDescent="0.2">
      <c r="A27" s="4" t="s">
        <v>108</v>
      </c>
      <c r="B27" s="9" t="s">
        <v>204</v>
      </c>
      <c r="C27" s="11" t="s">
        <v>205</v>
      </c>
      <c r="D27" s="4" t="s">
        <v>206</v>
      </c>
    </row>
    <row r="28" spans="1:9" ht="56" x14ac:dyDescent="0.2">
      <c r="A28" s="4" t="s">
        <v>207</v>
      </c>
      <c r="B28" s="9" t="s">
        <v>208</v>
      </c>
      <c r="C28" s="11" t="s">
        <v>209</v>
      </c>
      <c r="D28" s="4" t="s">
        <v>210</v>
      </c>
    </row>
    <row r="29" spans="1:9" ht="56" x14ac:dyDescent="0.2">
      <c r="A29" s="4" t="s">
        <v>211</v>
      </c>
      <c r="B29" s="9" t="s">
        <v>212</v>
      </c>
      <c r="C29" s="11" t="s">
        <v>213</v>
      </c>
      <c r="D29" s="4" t="s">
        <v>214</v>
      </c>
    </row>
    <row r="30" spans="1:9" ht="42" x14ac:dyDescent="0.2">
      <c r="A30" s="4" t="s">
        <v>215</v>
      </c>
      <c r="B30" s="9" t="s">
        <v>216</v>
      </c>
      <c r="C30" s="11" t="s">
        <v>217</v>
      </c>
      <c r="D30" s="4" t="s">
        <v>218</v>
      </c>
    </row>
    <row r="31" spans="1:9" ht="42" x14ac:dyDescent="0.2">
      <c r="A31" s="4" t="s">
        <v>219</v>
      </c>
      <c r="B31" s="9" t="s">
        <v>220</v>
      </c>
      <c r="C31" s="11" t="s">
        <v>221</v>
      </c>
      <c r="D31" s="4" t="s">
        <v>222</v>
      </c>
    </row>
    <row r="32" spans="1:9" ht="42" x14ac:dyDescent="0.2">
      <c r="A32" s="4" t="s">
        <v>223</v>
      </c>
      <c r="B32" s="9" t="s">
        <v>224</v>
      </c>
      <c r="C32" s="11" t="s">
        <v>225</v>
      </c>
      <c r="D32" s="4" t="s">
        <v>226</v>
      </c>
    </row>
    <row r="33" spans="1:4" ht="42" x14ac:dyDescent="0.2">
      <c r="A33" s="4" t="s">
        <v>227</v>
      </c>
      <c r="B33" s="9" t="s">
        <v>228</v>
      </c>
      <c r="C33" s="11" t="s">
        <v>229</v>
      </c>
      <c r="D33" s="4" t="s">
        <v>230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3"/>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baseColWidth="10" defaultColWidth="8.6640625" defaultRowHeight="15" x14ac:dyDescent="0.2"/>
  <cols>
    <col min="1" max="1" width="30" customWidth="1"/>
    <col min="2" max="4" width="34" customWidth="1"/>
    <col min="5" max="5" width="18" customWidth="1"/>
    <col min="6" max="6" width="13" customWidth="1"/>
    <col min="7" max="7" width="40" customWidth="1"/>
    <col min="8" max="9" width="24" customWidth="1"/>
  </cols>
  <sheetData>
    <row r="1" spans="1:9" ht="18" x14ac:dyDescent="0.2">
      <c r="A1" s="1" t="s">
        <v>231</v>
      </c>
    </row>
    <row r="2" spans="1:9" x14ac:dyDescent="0.2">
      <c r="A2" s="2" t="s">
        <v>232</v>
      </c>
    </row>
    <row r="4" spans="1:9" x14ac:dyDescent="0.2">
      <c r="A4" s="5" t="s">
        <v>18</v>
      </c>
      <c r="B4" s="6"/>
      <c r="C4" s="6"/>
      <c r="D4" s="6"/>
      <c r="E4" s="6"/>
      <c r="F4" s="6"/>
      <c r="G4" s="6"/>
      <c r="H4" s="6"/>
      <c r="I4" s="6"/>
    </row>
    <row r="5" spans="1:9" x14ac:dyDescent="0.2">
      <c r="A5" s="7" t="s">
        <v>19</v>
      </c>
      <c r="B5" s="7" t="s">
        <v>20</v>
      </c>
      <c r="C5" s="7" t="s">
        <v>21</v>
      </c>
      <c r="D5" s="7" t="s">
        <v>22</v>
      </c>
      <c r="E5" s="7" t="s">
        <v>23</v>
      </c>
      <c r="F5" s="7" t="s">
        <v>24</v>
      </c>
      <c r="G5" s="7" t="s">
        <v>25</v>
      </c>
      <c r="H5" s="7" t="s">
        <v>26</v>
      </c>
      <c r="I5" s="7" t="s">
        <v>27</v>
      </c>
    </row>
    <row r="6" spans="1:9" x14ac:dyDescent="0.2">
      <c r="A6" s="4" t="s">
        <v>233</v>
      </c>
      <c r="B6" s="8">
        <v>90557</v>
      </c>
      <c r="C6" s="9" t="s">
        <v>234</v>
      </c>
      <c r="D6" s="10">
        <v>85100</v>
      </c>
      <c r="E6" s="11" t="s">
        <v>235</v>
      </c>
      <c r="F6" s="4" t="s">
        <v>30</v>
      </c>
      <c r="G6" s="4" t="s">
        <v>236</v>
      </c>
      <c r="H6" s="4" t="s">
        <v>237</v>
      </c>
      <c r="I6" s="4" t="s">
        <v>63</v>
      </c>
    </row>
    <row r="7" spans="1:9" x14ac:dyDescent="0.2">
      <c r="A7" s="4" t="s">
        <v>238</v>
      </c>
      <c r="B7" s="8">
        <v>169732698</v>
      </c>
      <c r="C7" s="9" t="s">
        <v>239</v>
      </c>
      <c r="D7" s="11" t="s">
        <v>76</v>
      </c>
      <c r="E7" s="11"/>
      <c r="F7" s="4" t="s">
        <v>62</v>
      </c>
      <c r="G7" s="4" t="s">
        <v>240</v>
      </c>
      <c r="H7" s="4" t="s">
        <v>241</v>
      </c>
      <c r="I7" s="4" t="s">
        <v>40</v>
      </c>
    </row>
    <row r="8" spans="1:9" ht="28" x14ac:dyDescent="0.2">
      <c r="A8" s="4" t="s">
        <v>242</v>
      </c>
      <c r="B8" s="8">
        <v>58</v>
      </c>
      <c r="C8" s="9" t="s">
        <v>243</v>
      </c>
      <c r="D8" s="11" t="s">
        <v>244</v>
      </c>
      <c r="E8" s="11"/>
      <c r="F8" s="4" t="s">
        <v>62</v>
      </c>
      <c r="G8" s="4"/>
      <c r="H8" s="4" t="s">
        <v>245</v>
      </c>
      <c r="I8" s="4" t="s">
        <v>40</v>
      </c>
    </row>
    <row r="9" spans="1:9" x14ac:dyDescent="0.2">
      <c r="A9" s="4" t="s">
        <v>246</v>
      </c>
      <c r="B9" s="8">
        <v>636</v>
      </c>
      <c r="C9" s="9" t="s">
        <v>247</v>
      </c>
      <c r="D9" s="11" t="s">
        <v>76</v>
      </c>
      <c r="E9" s="11"/>
      <c r="F9" s="4" t="s">
        <v>62</v>
      </c>
      <c r="G9" s="4"/>
      <c r="H9" s="4" t="s">
        <v>245</v>
      </c>
      <c r="I9" s="4" t="s">
        <v>40</v>
      </c>
    </row>
    <row r="10" spans="1:9" x14ac:dyDescent="0.2">
      <c r="A10" s="4" t="s">
        <v>248</v>
      </c>
      <c r="B10" s="12">
        <v>0.34</v>
      </c>
      <c r="C10" s="9" t="s">
        <v>249</v>
      </c>
      <c r="D10" s="11" t="s">
        <v>40</v>
      </c>
      <c r="E10" s="11"/>
      <c r="F10" s="4" t="s">
        <v>62</v>
      </c>
      <c r="G10" s="4" t="s">
        <v>250</v>
      </c>
      <c r="H10" s="4" t="s">
        <v>241</v>
      </c>
      <c r="I10" s="4" t="s">
        <v>40</v>
      </c>
    </row>
    <row r="11" spans="1:9" ht="28" x14ac:dyDescent="0.2">
      <c r="A11" s="4" t="s">
        <v>251</v>
      </c>
      <c r="B11" s="14">
        <f>B8/B7*200000</f>
        <v>6.8342753851706281E-2</v>
      </c>
      <c r="C11" s="9" t="s">
        <v>252</v>
      </c>
      <c r="D11" s="13">
        <v>0.19</v>
      </c>
      <c r="E11" s="11" t="s">
        <v>253</v>
      </c>
      <c r="F11" s="4" t="s">
        <v>254</v>
      </c>
      <c r="G11" s="4" t="s">
        <v>255</v>
      </c>
      <c r="H11" s="4" t="s">
        <v>256</v>
      </c>
      <c r="I11" s="4" t="s">
        <v>257</v>
      </c>
    </row>
    <row r="12" spans="1:9" x14ac:dyDescent="0.2">
      <c r="A12" s="4" t="s">
        <v>258</v>
      </c>
      <c r="B12" s="9" t="s">
        <v>76</v>
      </c>
      <c r="C12" s="9"/>
      <c r="D12" s="13">
        <v>0.78</v>
      </c>
      <c r="E12" s="11" t="s">
        <v>259</v>
      </c>
      <c r="F12" s="4" t="s">
        <v>62</v>
      </c>
      <c r="G12" s="4" t="s">
        <v>260</v>
      </c>
      <c r="H12" s="4" t="s">
        <v>40</v>
      </c>
      <c r="I12" s="4" t="s">
        <v>257</v>
      </c>
    </row>
    <row r="13" spans="1:9" x14ac:dyDescent="0.2">
      <c r="A13" s="4" t="s">
        <v>261</v>
      </c>
      <c r="B13" s="8">
        <v>48</v>
      </c>
      <c r="C13" s="9" t="s">
        <v>262</v>
      </c>
      <c r="D13" s="11" t="s">
        <v>76</v>
      </c>
      <c r="E13" s="11"/>
      <c r="F13" s="4" t="s">
        <v>62</v>
      </c>
      <c r="G13" s="4"/>
      <c r="H13" s="4" t="s">
        <v>263</v>
      </c>
      <c r="I13" s="4" t="s">
        <v>40</v>
      </c>
    </row>
    <row r="14" spans="1:9" x14ac:dyDescent="0.2">
      <c r="A14" s="4" t="s">
        <v>264</v>
      </c>
      <c r="B14" s="8">
        <v>1</v>
      </c>
      <c r="C14" s="9" t="s">
        <v>265</v>
      </c>
      <c r="D14" s="11" t="s">
        <v>76</v>
      </c>
      <c r="E14" s="11"/>
      <c r="F14" s="4" t="s">
        <v>62</v>
      </c>
      <c r="G14" s="4"/>
      <c r="H14" s="4" t="s">
        <v>266</v>
      </c>
      <c r="I14" s="4" t="s">
        <v>40</v>
      </c>
    </row>
    <row r="15" spans="1:9" x14ac:dyDescent="0.2">
      <c r="A15" s="4" t="s">
        <v>267</v>
      </c>
      <c r="B15" s="8">
        <v>28</v>
      </c>
      <c r="C15" s="9" t="s">
        <v>268</v>
      </c>
      <c r="D15" s="11" t="s">
        <v>76</v>
      </c>
      <c r="E15" s="11"/>
      <c r="F15" s="4" t="s">
        <v>62</v>
      </c>
      <c r="G15" s="4" t="s">
        <v>269</v>
      </c>
      <c r="H15" s="4" t="s">
        <v>263</v>
      </c>
      <c r="I15" s="4" t="s">
        <v>40</v>
      </c>
    </row>
    <row r="16" spans="1:9" ht="42" x14ac:dyDescent="0.2">
      <c r="A16" s="4" t="s">
        <v>270</v>
      </c>
      <c r="B16" s="8">
        <v>73734</v>
      </c>
      <c r="C16" s="9" t="s">
        <v>271</v>
      </c>
      <c r="D16" s="10">
        <v>26000</v>
      </c>
      <c r="E16" s="11" t="s">
        <v>272</v>
      </c>
      <c r="F16" s="4" t="s">
        <v>62</v>
      </c>
      <c r="G16" s="4" t="s">
        <v>273</v>
      </c>
      <c r="H16" s="4" t="s">
        <v>274</v>
      </c>
      <c r="I16" s="4" t="s">
        <v>275</v>
      </c>
    </row>
    <row r="17" spans="1:9" ht="42" x14ac:dyDescent="0.2">
      <c r="A17" s="4" t="s">
        <v>276</v>
      </c>
      <c r="B17" s="9" t="s">
        <v>277</v>
      </c>
      <c r="C17" s="9"/>
      <c r="D17" s="13">
        <v>0.99</v>
      </c>
      <c r="E17" s="11" t="s">
        <v>278</v>
      </c>
      <c r="F17" s="4" t="s">
        <v>62</v>
      </c>
      <c r="G17" s="4"/>
      <c r="H17" s="4" t="s">
        <v>279</v>
      </c>
      <c r="I17" s="4" t="s">
        <v>275</v>
      </c>
    </row>
    <row r="18" spans="1:9" ht="42" x14ac:dyDescent="0.2">
      <c r="A18" s="4" t="s">
        <v>280</v>
      </c>
      <c r="B18" s="9" t="s">
        <v>281</v>
      </c>
      <c r="C18" s="9"/>
      <c r="D18" s="11" t="s">
        <v>282</v>
      </c>
      <c r="E18" s="11"/>
      <c r="F18" s="4" t="s">
        <v>38</v>
      </c>
      <c r="G18" s="4"/>
      <c r="H18" s="4" t="s">
        <v>263</v>
      </c>
      <c r="I18" s="4" t="s">
        <v>275</v>
      </c>
    </row>
    <row r="19" spans="1:9" ht="28" x14ac:dyDescent="0.2">
      <c r="A19" s="4" t="s">
        <v>283</v>
      </c>
      <c r="B19" s="12">
        <v>-1.43</v>
      </c>
      <c r="C19" s="9" t="s">
        <v>75</v>
      </c>
      <c r="D19" s="11" t="s">
        <v>76</v>
      </c>
      <c r="E19" s="11"/>
      <c r="F19" s="4" t="s">
        <v>62</v>
      </c>
      <c r="G19" s="4"/>
      <c r="H19" s="4" t="s">
        <v>284</v>
      </c>
      <c r="I19" s="4" t="s">
        <v>40</v>
      </c>
    </row>
    <row r="20" spans="1:9" ht="28" x14ac:dyDescent="0.2">
      <c r="A20" s="4" t="s">
        <v>285</v>
      </c>
      <c r="B20" s="8">
        <v>-17</v>
      </c>
      <c r="C20" s="9" t="s">
        <v>75</v>
      </c>
      <c r="D20" s="11" t="s">
        <v>76</v>
      </c>
      <c r="E20" s="11"/>
      <c r="F20" s="4" t="s">
        <v>62</v>
      </c>
      <c r="G20" s="4" t="s">
        <v>286</v>
      </c>
      <c r="H20" s="4" t="s">
        <v>284</v>
      </c>
      <c r="I20" s="4" t="s">
        <v>40</v>
      </c>
    </row>
    <row r="21" spans="1:9" ht="28" x14ac:dyDescent="0.2">
      <c r="A21" s="4" t="s">
        <v>287</v>
      </c>
      <c r="B21" s="12">
        <v>-56.72</v>
      </c>
      <c r="C21" s="9" t="s">
        <v>75</v>
      </c>
      <c r="D21" s="11" t="s">
        <v>76</v>
      </c>
      <c r="E21" s="11"/>
      <c r="F21" s="4" t="s">
        <v>62</v>
      </c>
      <c r="G21" s="4"/>
      <c r="H21" s="4" t="s">
        <v>284</v>
      </c>
      <c r="I21" s="4" t="s">
        <v>40</v>
      </c>
    </row>
    <row r="22" spans="1:9" ht="28" x14ac:dyDescent="0.2">
      <c r="A22" s="4" t="s">
        <v>288</v>
      </c>
      <c r="B22" s="8">
        <v>274</v>
      </c>
      <c r="C22" s="9" t="s">
        <v>75</v>
      </c>
      <c r="D22" s="11" t="s">
        <v>76</v>
      </c>
      <c r="E22" s="11"/>
      <c r="F22" s="4" t="s">
        <v>62</v>
      </c>
      <c r="G22" s="4"/>
      <c r="H22" s="4" t="s">
        <v>284</v>
      </c>
      <c r="I22" s="4" t="s">
        <v>40</v>
      </c>
    </row>
    <row r="23" spans="1:9" ht="42" x14ac:dyDescent="0.2">
      <c r="A23" s="4" t="s">
        <v>200</v>
      </c>
      <c r="B23" s="9" t="s">
        <v>289</v>
      </c>
      <c r="C23" s="9"/>
      <c r="D23" s="11" t="s">
        <v>290</v>
      </c>
      <c r="E23" s="11"/>
      <c r="F23" s="4" t="s">
        <v>38</v>
      </c>
      <c r="G23" s="4"/>
      <c r="H23" s="4" t="s">
        <v>284</v>
      </c>
      <c r="I23" s="4" t="s">
        <v>291</v>
      </c>
    </row>
    <row r="25" spans="1:9" x14ac:dyDescent="0.2">
      <c r="A25" s="5" t="s">
        <v>103</v>
      </c>
      <c r="B25" s="6"/>
      <c r="C25" s="6"/>
      <c r="D25" s="6"/>
      <c r="E25" s="6"/>
      <c r="F25" s="6"/>
      <c r="G25" s="6"/>
      <c r="H25" s="6"/>
      <c r="I25" s="6"/>
    </row>
    <row r="26" spans="1:9" ht="28" x14ac:dyDescent="0.2">
      <c r="A26" s="7" t="s">
        <v>104</v>
      </c>
      <c r="B26" s="7" t="s">
        <v>105</v>
      </c>
      <c r="C26" s="7" t="s">
        <v>106</v>
      </c>
      <c r="D26" s="7" t="s">
        <v>107</v>
      </c>
    </row>
    <row r="27" spans="1:9" ht="126" x14ac:dyDescent="0.2">
      <c r="A27" s="4" t="s">
        <v>108</v>
      </c>
      <c r="B27" s="9" t="s">
        <v>292</v>
      </c>
      <c r="C27" s="11" t="s">
        <v>293</v>
      </c>
      <c r="D27" s="4" t="s">
        <v>294</v>
      </c>
    </row>
    <row r="28" spans="1:9" ht="42" x14ac:dyDescent="0.2">
      <c r="A28" s="4" t="s">
        <v>295</v>
      </c>
      <c r="B28" s="9" t="s">
        <v>296</v>
      </c>
      <c r="C28" s="11" t="s">
        <v>297</v>
      </c>
      <c r="D28" s="4" t="s">
        <v>298</v>
      </c>
    </row>
    <row r="29" spans="1:9" ht="42" x14ac:dyDescent="0.2">
      <c r="A29" s="4" t="s">
        <v>299</v>
      </c>
      <c r="B29" s="9" t="s">
        <v>300</v>
      </c>
      <c r="C29" s="11" t="s">
        <v>301</v>
      </c>
      <c r="D29" s="4" t="s">
        <v>302</v>
      </c>
    </row>
    <row r="30" spans="1:9" ht="84" x14ac:dyDescent="0.2">
      <c r="A30" s="4" t="s">
        <v>303</v>
      </c>
      <c r="B30" s="9" t="s">
        <v>304</v>
      </c>
      <c r="C30" s="11" t="s">
        <v>305</v>
      </c>
      <c r="D30" s="4" t="s">
        <v>306</v>
      </c>
    </row>
    <row r="31" spans="1:9" ht="56" x14ac:dyDescent="0.2">
      <c r="A31" s="4" t="s">
        <v>307</v>
      </c>
      <c r="B31" s="9" t="s">
        <v>308</v>
      </c>
      <c r="C31" s="11" t="s">
        <v>309</v>
      </c>
      <c r="D31" s="4" t="s">
        <v>310</v>
      </c>
    </row>
    <row r="32" spans="1:9" ht="42" x14ac:dyDescent="0.2">
      <c r="A32" s="4" t="s">
        <v>311</v>
      </c>
      <c r="B32" s="9" t="s">
        <v>312</v>
      </c>
      <c r="C32" s="11" t="s">
        <v>313</v>
      </c>
      <c r="D32" s="4" t="s">
        <v>314</v>
      </c>
    </row>
    <row r="33" spans="1:4" ht="28" x14ac:dyDescent="0.2">
      <c r="A33" s="4" t="s">
        <v>315</v>
      </c>
      <c r="B33" s="9" t="s">
        <v>316</v>
      </c>
      <c r="C33" s="11" t="s">
        <v>317</v>
      </c>
      <c r="D33" s="4" t="s">
        <v>318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2"/>
  <sheetViews>
    <sheetView showGridLines="0" zoomScaleNormal="100" workbookViewId="0"/>
  </sheetViews>
  <sheetFormatPr baseColWidth="10" defaultColWidth="8.6640625" defaultRowHeight="15" x14ac:dyDescent="0.2"/>
  <cols>
    <col min="1" max="1" width="44" customWidth="1"/>
    <col min="2" max="2" width="20" customWidth="1"/>
    <col min="3" max="3" width="18" customWidth="1"/>
    <col min="4" max="4" width="30" customWidth="1"/>
    <col min="5" max="5" width="26" customWidth="1"/>
    <col min="6" max="6" width="22" customWidth="1"/>
    <col min="7" max="7" width="70" customWidth="1"/>
  </cols>
  <sheetData>
    <row r="1" spans="1:6" ht="18" x14ac:dyDescent="0.2">
      <c r="A1" s="1" t="s">
        <v>319</v>
      </c>
    </row>
    <row r="2" spans="1:6" x14ac:dyDescent="0.2">
      <c r="A2" s="2" t="s">
        <v>320</v>
      </c>
    </row>
    <row r="4" spans="1:6" x14ac:dyDescent="0.2">
      <c r="A4" s="5" t="s">
        <v>321</v>
      </c>
      <c r="B4" s="6"/>
      <c r="C4" s="6"/>
      <c r="D4" s="6"/>
      <c r="E4" s="6"/>
      <c r="F4" s="6"/>
    </row>
    <row r="5" spans="1:6" x14ac:dyDescent="0.2">
      <c r="A5" s="7" t="s">
        <v>322</v>
      </c>
      <c r="B5" s="7" t="s">
        <v>323</v>
      </c>
      <c r="C5" s="7" t="s">
        <v>324</v>
      </c>
      <c r="D5" s="7" t="s">
        <v>325</v>
      </c>
      <c r="E5" s="7"/>
      <c r="F5" s="7"/>
    </row>
    <row r="6" spans="1:6" ht="56" x14ac:dyDescent="0.2">
      <c r="A6" s="4" t="s">
        <v>326</v>
      </c>
      <c r="B6" s="15">
        <v>31.16</v>
      </c>
      <c r="C6" s="4" t="s">
        <v>327</v>
      </c>
      <c r="D6" s="4" t="s">
        <v>328</v>
      </c>
    </row>
    <row r="8" spans="1:6" x14ac:dyDescent="0.2">
      <c r="A8" s="5" t="s">
        <v>329</v>
      </c>
      <c r="B8" s="6"/>
      <c r="C8" s="6"/>
      <c r="D8" s="6"/>
      <c r="E8" s="6"/>
      <c r="F8" s="6"/>
    </row>
    <row r="9" spans="1:6" x14ac:dyDescent="0.2">
      <c r="A9" s="7" t="s">
        <v>330</v>
      </c>
      <c r="B9" s="7" t="s">
        <v>323</v>
      </c>
      <c r="C9" s="7" t="s">
        <v>324</v>
      </c>
      <c r="D9" s="7" t="s">
        <v>331</v>
      </c>
      <c r="E9" s="7" t="s">
        <v>332</v>
      </c>
      <c r="F9" s="7" t="s">
        <v>333</v>
      </c>
    </row>
    <row r="10" spans="1:6" ht="28" x14ac:dyDescent="0.2">
      <c r="A10" s="4" t="s">
        <v>334</v>
      </c>
      <c r="B10" s="16">
        <v>7588</v>
      </c>
      <c r="C10" s="4" t="s">
        <v>335</v>
      </c>
      <c r="D10" s="4" t="s">
        <v>336</v>
      </c>
      <c r="E10" s="4" t="s">
        <v>337</v>
      </c>
      <c r="F10" s="17">
        <f>B10/$B$6</f>
        <v>243.5173299101412</v>
      </c>
    </row>
    <row r="11" spans="1:6" ht="28" x14ac:dyDescent="0.2">
      <c r="A11" s="4" t="s">
        <v>338</v>
      </c>
      <c r="B11" s="16">
        <v>2891024</v>
      </c>
      <c r="C11" s="4" t="s">
        <v>339</v>
      </c>
      <c r="D11" s="4" t="s">
        <v>340</v>
      </c>
      <c r="E11" s="4" t="s">
        <v>341</v>
      </c>
      <c r="F11" s="17">
        <f>B11/$B$6</f>
        <v>92779.974326059048</v>
      </c>
    </row>
    <row r="12" spans="1:6" ht="28" x14ac:dyDescent="0.2">
      <c r="A12" s="4" t="s">
        <v>342</v>
      </c>
      <c r="B12" s="18">
        <v>26.23</v>
      </c>
      <c r="C12" s="4" t="s">
        <v>343</v>
      </c>
      <c r="D12" s="4" t="s">
        <v>344</v>
      </c>
      <c r="E12" s="4" t="s">
        <v>345</v>
      </c>
      <c r="F12" s="17">
        <f>B12/$B$6</f>
        <v>0.84178433889602056</v>
      </c>
    </row>
    <row r="13" spans="1:6" x14ac:dyDescent="0.2">
      <c r="A13" s="4" t="s">
        <v>346</v>
      </c>
    </row>
    <row r="14" spans="1:6" x14ac:dyDescent="0.2">
      <c r="A14" s="3" t="s">
        <v>347</v>
      </c>
      <c r="B14" s="3" t="s">
        <v>348</v>
      </c>
      <c r="C14" s="3" t="s">
        <v>349</v>
      </c>
      <c r="D14" s="3" t="s">
        <v>350</v>
      </c>
      <c r="E14" s="3" t="s">
        <v>351</v>
      </c>
    </row>
    <row r="15" spans="1:6" x14ac:dyDescent="0.2">
      <c r="A15" s="16">
        <v>205</v>
      </c>
      <c r="B15" s="16">
        <v>223</v>
      </c>
      <c r="C15" s="16">
        <v>236</v>
      </c>
      <c r="D15" s="16">
        <v>239</v>
      </c>
      <c r="E15" s="16">
        <v>244</v>
      </c>
    </row>
    <row r="17" spans="1:7" x14ac:dyDescent="0.2">
      <c r="A17" s="5" t="s">
        <v>352</v>
      </c>
      <c r="B17" s="6"/>
      <c r="C17" s="6"/>
      <c r="D17" s="6"/>
      <c r="E17" s="6"/>
      <c r="F17" s="6"/>
    </row>
    <row r="18" spans="1:7" ht="28" x14ac:dyDescent="0.2">
      <c r="A18" s="7" t="s">
        <v>353</v>
      </c>
      <c r="B18" s="7" t="s">
        <v>354</v>
      </c>
      <c r="C18" s="7" t="s">
        <v>355</v>
      </c>
      <c r="D18" s="7" t="s">
        <v>356</v>
      </c>
      <c r="E18" s="7" t="s">
        <v>357</v>
      </c>
      <c r="F18" s="7" t="s">
        <v>358</v>
      </c>
      <c r="G18" s="19" t="s">
        <v>359</v>
      </c>
    </row>
    <row r="19" spans="1:7" x14ac:dyDescent="0.2">
      <c r="A19" s="4" t="s">
        <v>360</v>
      </c>
      <c r="B19" s="20">
        <v>-120105</v>
      </c>
      <c r="C19" s="16">
        <v>15830000</v>
      </c>
      <c r="D19" s="4" t="s">
        <v>361</v>
      </c>
      <c r="E19" s="21">
        <f t="shared" ref="E19:E31" si="0">B19*1000000/C19</f>
        <v>-7587.1762476310805</v>
      </c>
      <c r="F19" s="22">
        <f t="shared" ref="F19:F31" si="1">E19/$B$6</f>
        <v>-243.49089369804494</v>
      </c>
      <c r="G19" s="4" t="s">
        <v>362</v>
      </c>
    </row>
    <row r="20" spans="1:7" ht="28" x14ac:dyDescent="0.2">
      <c r="A20" s="4" t="s">
        <v>363</v>
      </c>
      <c r="B20" s="20">
        <v>21317</v>
      </c>
      <c r="C20" s="23">
        <v>57.8</v>
      </c>
      <c r="D20" s="4" t="s">
        <v>364</v>
      </c>
      <c r="E20" s="21">
        <f t="shared" si="0"/>
        <v>368806228.37370247</v>
      </c>
      <c r="F20" s="22">
        <f t="shared" si="1"/>
        <v>11835886.661543725</v>
      </c>
      <c r="G20" s="4" t="s">
        <v>365</v>
      </c>
    </row>
    <row r="21" spans="1:7" ht="28" x14ac:dyDescent="0.2">
      <c r="A21" s="4" t="s">
        <v>366</v>
      </c>
      <c r="B21" s="20">
        <v>20364</v>
      </c>
      <c r="C21" s="23">
        <v>56</v>
      </c>
      <c r="D21" s="4" t="s">
        <v>367</v>
      </c>
      <c r="E21" s="21">
        <f t="shared" si="0"/>
        <v>363642857.14285713</v>
      </c>
      <c r="F21" s="22">
        <f t="shared" si="1"/>
        <v>11670181.551439574</v>
      </c>
      <c r="G21" s="4" t="s">
        <v>368</v>
      </c>
    </row>
    <row r="22" spans="1:7" ht="28" x14ac:dyDescent="0.2">
      <c r="A22" s="4" t="s">
        <v>369</v>
      </c>
      <c r="B22" s="20">
        <v>-5709</v>
      </c>
      <c r="C22" s="16">
        <v>127000000</v>
      </c>
      <c r="D22" s="4" t="s">
        <v>370</v>
      </c>
      <c r="E22" s="21">
        <f t="shared" si="0"/>
        <v>-44.952755905511808</v>
      </c>
      <c r="F22" s="22">
        <f t="shared" si="1"/>
        <v>-1.4426430008187359</v>
      </c>
      <c r="G22" s="4" t="s">
        <v>371</v>
      </c>
    </row>
    <row r="23" spans="1:7" x14ac:dyDescent="0.2">
      <c r="A23" s="4" t="s">
        <v>372</v>
      </c>
      <c r="B23" s="20">
        <v>-573</v>
      </c>
      <c r="C23" s="16">
        <v>98000000</v>
      </c>
      <c r="D23" s="4" t="s">
        <v>373</v>
      </c>
      <c r="E23" s="21">
        <f t="shared" si="0"/>
        <v>-5.8469387755102042</v>
      </c>
      <c r="F23" s="22">
        <f t="shared" si="1"/>
        <v>-0.18764245107542377</v>
      </c>
      <c r="G23" s="4" t="s">
        <v>374</v>
      </c>
    </row>
    <row r="24" spans="1:7" x14ac:dyDescent="0.2">
      <c r="A24" s="4" t="s">
        <v>375</v>
      </c>
      <c r="B24" s="20">
        <v>15135</v>
      </c>
      <c r="C24" s="16">
        <v>319000000</v>
      </c>
      <c r="D24" s="4" t="s">
        <v>376</v>
      </c>
      <c r="E24" s="21">
        <f t="shared" si="0"/>
        <v>47.445141065830718</v>
      </c>
      <c r="F24" s="22">
        <f t="shared" si="1"/>
        <v>1.5226296876068908</v>
      </c>
      <c r="G24" s="4" t="s">
        <v>377</v>
      </c>
    </row>
    <row r="25" spans="1:7" x14ac:dyDescent="0.2">
      <c r="A25" s="4" t="s">
        <v>378</v>
      </c>
      <c r="B25" s="20">
        <v>1016</v>
      </c>
      <c r="C25" s="16">
        <v>22700000</v>
      </c>
      <c r="D25" s="4" t="s">
        <v>379</v>
      </c>
      <c r="E25" s="21">
        <f t="shared" si="0"/>
        <v>44.757709251101325</v>
      </c>
      <c r="F25" s="22">
        <f t="shared" si="1"/>
        <v>1.4363834804589641</v>
      </c>
      <c r="G25" s="4" t="s">
        <v>377</v>
      </c>
    </row>
    <row r="26" spans="1:7" x14ac:dyDescent="0.2">
      <c r="A26" s="4" t="s">
        <v>380</v>
      </c>
      <c r="B26" s="20">
        <v>-1.43</v>
      </c>
      <c r="C26" s="16">
        <v>636</v>
      </c>
      <c r="D26" s="4" t="s">
        <v>381</v>
      </c>
      <c r="E26" s="21">
        <f t="shared" si="0"/>
        <v>-2248.4276729559747</v>
      </c>
      <c r="F26" s="22">
        <f t="shared" si="1"/>
        <v>-72.157499132091615</v>
      </c>
      <c r="G26" s="4" t="s">
        <v>382</v>
      </c>
    </row>
    <row r="27" spans="1:7" x14ac:dyDescent="0.2">
      <c r="A27" s="4" t="s">
        <v>383</v>
      </c>
      <c r="B27" s="20">
        <v>-1.43</v>
      </c>
      <c r="C27" s="23">
        <v>58</v>
      </c>
      <c r="D27" s="4" t="s">
        <v>243</v>
      </c>
      <c r="E27" s="21">
        <f t="shared" si="0"/>
        <v>-24655.172413793105</v>
      </c>
      <c r="F27" s="22">
        <f t="shared" si="1"/>
        <v>-791.24430082776337</v>
      </c>
      <c r="G27" s="4" t="s">
        <v>382</v>
      </c>
    </row>
    <row r="28" spans="1:7" x14ac:dyDescent="0.2">
      <c r="A28" s="4" t="s">
        <v>384</v>
      </c>
      <c r="B28" s="20">
        <v>-17</v>
      </c>
      <c r="C28" s="16">
        <v>993</v>
      </c>
      <c r="D28" s="4" t="s">
        <v>381</v>
      </c>
      <c r="E28" s="21">
        <f t="shared" si="0"/>
        <v>-17119.838872104734</v>
      </c>
      <c r="F28" s="22">
        <f t="shared" si="1"/>
        <v>-549.41716534354089</v>
      </c>
      <c r="G28" s="4" t="s">
        <v>385</v>
      </c>
    </row>
    <row r="29" spans="1:7" ht="28" x14ac:dyDescent="0.2">
      <c r="A29" s="4" t="s">
        <v>386</v>
      </c>
      <c r="B29" s="20">
        <v>-1464</v>
      </c>
      <c r="C29" s="23">
        <v>1</v>
      </c>
      <c r="D29" s="4" t="s">
        <v>387</v>
      </c>
      <c r="E29" s="21">
        <f t="shared" si="0"/>
        <v>-1464000000</v>
      </c>
      <c r="F29" s="22">
        <f t="shared" si="1"/>
        <v>-46983311.938382544</v>
      </c>
      <c r="G29" s="4" t="s">
        <v>388</v>
      </c>
    </row>
    <row r="30" spans="1:7" x14ac:dyDescent="0.2">
      <c r="A30" s="4" t="s">
        <v>389</v>
      </c>
      <c r="B30" s="20">
        <v>-56.72</v>
      </c>
      <c r="C30" s="23">
        <v>28</v>
      </c>
      <c r="D30" s="4" t="s">
        <v>390</v>
      </c>
      <c r="E30" s="21">
        <f t="shared" si="0"/>
        <v>-2025714.2857142857</v>
      </c>
      <c r="F30" s="22">
        <f t="shared" si="1"/>
        <v>-65010.086191087474</v>
      </c>
      <c r="G30" s="4" t="s">
        <v>382</v>
      </c>
    </row>
    <row r="31" spans="1:7" x14ac:dyDescent="0.2">
      <c r="A31" s="4" t="s">
        <v>391</v>
      </c>
      <c r="B31" s="20">
        <v>274</v>
      </c>
      <c r="C31" s="16">
        <v>22721</v>
      </c>
      <c r="D31" s="4" t="s">
        <v>392</v>
      </c>
      <c r="E31" s="21">
        <f t="shared" si="0"/>
        <v>12059.328374631399</v>
      </c>
      <c r="F31" s="22">
        <f t="shared" si="1"/>
        <v>387.01310573271496</v>
      </c>
      <c r="G31" s="4" t="s">
        <v>382</v>
      </c>
    </row>
    <row r="32" spans="1:7" x14ac:dyDescent="0.2">
      <c r="A32" s="4" t="s">
        <v>393</v>
      </c>
      <c r="B32" s="4" t="s">
        <v>40</v>
      </c>
      <c r="C32" s="4" t="s">
        <v>40</v>
      </c>
      <c r="D32" s="4" t="s">
        <v>394</v>
      </c>
      <c r="E32" s="24">
        <f>C26/C27</f>
        <v>10.96551724137931</v>
      </c>
      <c r="F32" s="4" t="s">
        <v>395</v>
      </c>
      <c r="G32" s="4" t="s">
        <v>396</v>
      </c>
    </row>
  </sheetData>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3"/>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1" width="10" customWidth="1"/>
    <col min="2" max="2" width="46" customWidth="1"/>
    <col min="3" max="3" width="16" customWidth="1"/>
    <col min="4" max="4" width="26" customWidth="1"/>
    <col min="5" max="5" width="14" customWidth="1"/>
    <col min="6" max="9" width="16" customWidth="1"/>
    <col min="10" max="10" width="11" customWidth="1"/>
    <col min="11" max="11" width="70" customWidth="1"/>
  </cols>
  <sheetData>
    <row r="1" spans="1:11" ht="18" x14ac:dyDescent="0.2">
      <c r="A1" s="1" t="s">
        <v>397</v>
      </c>
    </row>
    <row r="2" spans="1:11" x14ac:dyDescent="0.2">
      <c r="A2" s="2" t="s">
        <v>398</v>
      </c>
    </row>
    <row r="4" spans="1:11" ht="28" x14ac:dyDescent="0.2">
      <c r="A4" s="7" t="s">
        <v>330</v>
      </c>
      <c r="B4" s="7" t="s">
        <v>353</v>
      </c>
      <c r="C4" s="7" t="s">
        <v>399</v>
      </c>
      <c r="D4" s="7" t="s">
        <v>324</v>
      </c>
      <c r="E4" s="7" t="s">
        <v>400</v>
      </c>
      <c r="F4" s="7" t="s">
        <v>401</v>
      </c>
      <c r="G4" s="7" t="s">
        <v>402</v>
      </c>
      <c r="H4" s="7" t="s">
        <v>403</v>
      </c>
      <c r="I4" s="7" t="s">
        <v>404</v>
      </c>
      <c r="J4" s="7" t="s">
        <v>405</v>
      </c>
      <c r="K4" s="7" t="s">
        <v>406</v>
      </c>
    </row>
    <row r="5" spans="1:11" x14ac:dyDescent="0.2">
      <c r="A5" s="3" t="s">
        <v>407</v>
      </c>
      <c r="B5" s="4" t="s">
        <v>408</v>
      </c>
      <c r="C5" s="16">
        <v>1274000</v>
      </c>
      <c r="D5" s="4" t="s">
        <v>29</v>
      </c>
      <c r="E5" s="16">
        <v>1</v>
      </c>
      <c r="F5" s="25">
        <f t="shared" ref="F5:F21" si="0">C5*E5</f>
        <v>1274000</v>
      </c>
      <c r="G5" s="26">
        <f>-'TSMC Coefficients'!$B$10</f>
        <v>-7588</v>
      </c>
      <c r="H5" s="27">
        <f t="shared" ref="H5:H21" si="1">F5*G5/1000000</f>
        <v>-9667.1119999999992</v>
      </c>
      <c r="I5" s="28">
        <f>H5/'TSMC Coefficients'!$B$6</f>
        <v>-310.24107830551986</v>
      </c>
      <c r="J5" s="4" t="s">
        <v>30</v>
      </c>
      <c r="K5" s="4" t="s">
        <v>409</v>
      </c>
    </row>
    <row r="6" spans="1:11" x14ac:dyDescent="0.2">
      <c r="A6" s="3" t="s">
        <v>407</v>
      </c>
      <c r="B6" s="4" t="s">
        <v>410</v>
      </c>
      <c r="C6" s="16">
        <v>49000</v>
      </c>
      <c r="D6" s="4" t="s">
        <v>29</v>
      </c>
      <c r="E6" s="16">
        <v>1</v>
      </c>
      <c r="F6" s="25">
        <f t="shared" si="0"/>
        <v>49000</v>
      </c>
      <c r="G6" s="26">
        <f>-'TSMC Coefficients'!$B$10</f>
        <v>-7588</v>
      </c>
      <c r="H6" s="27">
        <f t="shared" si="1"/>
        <v>-371.81200000000001</v>
      </c>
      <c r="I6" s="28">
        <f>H6/'TSMC Coefficients'!$B$6</f>
        <v>-11.93234916559692</v>
      </c>
      <c r="J6" s="4" t="s">
        <v>30</v>
      </c>
      <c r="K6" s="4" t="s">
        <v>409</v>
      </c>
    </row>
    <row r="7" spans="1:11" ht="28" x14ac:dyDescent="0.2">
      <c r="A7" s="3" t="s">
        <v>407</v>
      </c>
      <c r="B7" s="4" t="s">
        <v>411</v>
      </c>
      <c r="C7" s="29">
        <v>10.098000000000001</v>
      </c>
      <c r="D7" s="4" t="s">
        <v>412</v>
      </c>
      <c r="E7" s="16">
        <v>1</v>
      </c>
      <c r="F7" s="17">
        <f t="shared" si="0"/>
        <v>10.098000000000001</v>
      </c>
      <c r="G7" s="26">
        <f>'TSMC Coefficients'!$E$20</f>
        <v>368806228.37370247</v>
      </c>
      <c r="H7" s="27">
        <f t="shared" si="1"/>
        <v>3724.2052941176476</v>
      </c>
      <c r="I7" s="28">
        <f>H7/'TSMC Coefficients'!$B$6</f>
        <v>119.51878350826854</v>
      </c>
      <c r="J7" s="4" t="s">
        <v>30</v>
      </c>
      <c r="K7" s="4" t="s">
        <v>413</v>
      </c>
    </row>
    <row r="8" spans="1:11" ht="28" x14ac:dyDescent="0.2">
      <c r="A8" s="3" t="s">
        <v>407</v>
      </c>
      <c r="B8" s="4" t="s">
        <v>414</v>
      </c>
      <c r="C8" s="30">
        <v>2.7</v>
      </c>
      <c r="D8" s="4" t="s">
        <v>415</v>
      </c>
      <c r="E8" s="16">
        <v>1</v>
      </c>
      <c r="F8" s="17">
        <f t="shared" si="0"/>
        <v>2.7</v>
      </c>
      <c r="G8" s="26">
        <f>'TSMC Coefficients'!$E$21</f>
        <v>363642857.14285713</v>
      </c>
      <c r="H8" s="27">
        <f t="shared" si="1"/>
        <v>981.83571428571429</v>
      </c>
      <c r="I8" s="28">
        <f>H8/'TSMC Coefficients'!$B$6</f>
        <v>31.509490188886851</v>
      </c>
      <c r="J8" s="4" t="s">
        <v>30</v>
      </c>
      <c r="K8" s="4" t="s">
        <v>416</v>
      </c>
    </row>
    <row r="9" spans="1:11" ht="28" x14ac:dyDescent="0.2">
      <c r="A9" s="3" t="s">
        <v>407</v>
      </c>
      <c r="B9" s="4" t="s">
        <v>417</v>
      </c>
      <c r="C9" s="16">
        <v>3262000</v>
      </c>
      <c r="D9" s="4" t="s">
        <v>418</v>
      </c>
      <c r="E9" s="16">
        <v>1</v>
      </c>
      <c r="F9" s="25">
        <f t="shared" si="0"/>
        <v>3262000</v>
      </c>
      <c r="G9" s="26">
        <f>'TSMC Coefficients'!$B$10</f>
        <v>7588</v>
      </c>
      <c r="H9" s="27">
        <f t="shared" si="1"/>
        <v>24752.056</v>
      </c>
      <c r="I9" s="28">
        <f>H9/'TSMC Coefficients'!$B$6</f>
        <v>794.35353016688066</v>
      </c>
      <c r="J9" s="4" t="s">
        <v>62</v>
      </c>
      <c r="K9" s="4" t="s">
        <v>419</v>
      </c>
    </row>
    <row r="10" spans="1:11" ht="28" x14ac:dyDescent="0.2">
      <c r="A10" s="3" t="s">
        <v>407</v>
      </c>
      <c r="B10" s="4" t="s">
        <v>420</v>
      </c>
      <c r="C10" s="16">
        <v>10900000</v>
      </c>
      <c r="D10" s="4" t="s">
        <v>29</v>
      </c>
      <c r="E10" s="16">
        <v>1</v>
      </c>
      <c r="F10" s="25">
        <f t="shared" si="0"/>
        <v>10900000</v>
      </c>
      <c r="G10" s="26">
        <f>-'TSMC Coefficients'!$B$10</f>
        <v>-7588</v>
      </c>
      <c r="H10" s="27">
        <f t="shared" si="1"/>
        <v>-82709.2</v>
      </c>
      <c r="I10" s="28">
        <f>H10/'TSMC Coefficients'!$B$6</f>
        <v>-2654.3388960205389</v>
      </c>
      <c r="J10" s="4" t="s">
        <v>62</v>
      </c>
      <c r="K10" s="4" t="s">
        <v>421</v>
      </c>
    </row>
    <row r="11" spans="1:11" x14ac:dyDescent="0.2">
      <c r="A11" s="3" t="s">
        <v>422</v>
      </c>
      <c r="B11" s="4" t="s">
        <v>423</v>
      </c>
      <c r="C11" s="16">
        <v>42115</v>
      </c>
      <c r="D11" s="4" t="s">
        <v>424</v>
      </c>
      <c r="E11" s="16">
        <v>1000</v>
      </c>
      <c r="F11" s="25">
        <f t="shared" si="0"/>
        <v>42115000</v>
      </c>
      <c r="G11" s="26">
        <f>'TSMC Coefficients'!$E$22</f>
        <v>-44.952755905511808</v>
      </c>
      <c r="H11" s="27">
        <f t="shared" si="1"/>
        <v>-1893.1853149606297</v>
      </c>
      <c r="I11" s="28">
        <f>H11/'TSMC Coefficients'!$B$6</f>
        <v>-60.756909979481058</v>
      </c>
      <c r="J11" s="4" t="s">
        <v>30</v>
      </c>
      <c r="K11" s="4" t="s">
        <v>425</v>
      </c>
    </row>
    <row r="12" spans="1:11" x14ac:dyDescent="0.2">
      <c r="A12" s="3" t="s">
        <v>422</v>
      </c>
      <c r="B12" s="4" t="s">
        <v>426</v>
      </c>
      <c r="C12" s="16">
        <v>11298</v>
      </c>
      <c r="D12" s="4" t="s">
        <v>427</v>
      </c>
      <c r="E12" s="16">
        <v>1000</v>
      </c>
      <c r="F12" s="25">
        <f t="shared" si="0"/>
        <v>11298000</v>
      </c>
      <c r="G12" s="26">
        <f>'TSMC Coefficients'!$E$22</f>
        <v>-44.952755905511808</v>
      </c>
      <c r="H12" s="27">
        <f t="shared" si="1"/>
        <v>-507.87623622047238</v>
      </c>
      <c r="I12" s="28">
        <f>H12/'TSMC Coefficients'!$B$6</f>
        <v>-16.298980623250078</v>
      </c>
      <c r="J12" s="4" t="s">
        <v>62</v>
      </c>
      <c r="K12" s="4" t="s">
        <v>428</v>
      </c>
    </row>
    <row r="13" spans="1:11" ht="28" x14ac:dyDescent="0.2">
      <c r="A13" s="3" t="s">
        <v>422</v>
      </c>
      <c r="B13" s="4" t="s">
        <v>429</v>
      </c>
      <c r="C13" s="16">
        <v>35317</v>
      </c>
      <c r="D13" s="4" t="s">
        <v>430</v>
      </c>
      <c r="E13" s="16">
        <v>1000</v>
      </c>
      <c r="F13" s="25">
        <f t="shared" si="0"/>
        <v>35317000</v>
      </c>
      <c r="G13" s="26">
        <f>'TSMC Coefficients'!$E$23</f>
        <v>-5.8469387755102042</v>
      </c>
      <c r="H13" s="27">
        <f t="shared" si="1"/>
        <v>-206.4963367346939</v>
      </c>
      <c r="I13" s="28">
        <f>H13/'TSMC Coefficients'!$B$6</f>
        <v>-6.6269684446307409</v>
      </c>
      <c r="J13" s="4" t="s">
        <v>30</v>
      </c>
      <c r="K13" s="4" t="s">
        <v>431</v>
      </c>
    </row>
    <row r="14" spans="1:11" x14ac:dyDescent="0.2">
      <c r="A14" s="3" t="s">
        <v>422</v>
      </c>
      <c r="B14" s="4" t="s">
        <v>432</v>
      </c>
      <c r="C14" s="16">
        <v>42348</v>
      </c>
      <c r="D14" s="4" t="s">
        <v>433</v>
      </c>
      <c r="E14" s="16">
        <v>1000</v>
      </c>
      <c r="F14" s="25">
        <f t="shared" si="0"/>
        <v>42348000</v>
      </c>
      <c r="G14" s="26">
        <f>'TSMC Coefficients'!$E$24</f>
        <v>47.445141065830718</v>
      </c>
      <c r="H14" s="27">
        <f t="shared" si="1"/>
        <v>2009.2068338557992</v>
      </c>
      <c r="I14" s="28">
        <f>H14/'TSMC Coefficients'!$B$6</f>
        <v>64.480322010776618</v>
      </c>
      <c r="J14" s="4" t="s">
        <v>30</v>
      </c>
      <c r="K14" s="4" t="s">
        <v>434</v>
      </c>
    </row>
    <row r="15" spans="1:11" x14ac:dyDescent="0.2">
      <c r="A15" s="3" t="s">
        <v>422</v>
      </c>
      <c r="B15" s="4" t="s">
        <v>435</v>
      </c>
      <c r="C15" s="16">
        <v>1341</v>
      </c>
      <c r="D15" s="4" t="s">
        <v>436</v>
      </c>
      <c r="E15" s="16">
        <v>1000</v>
      </c>
      <c r="F15" s="25">
        <f t="shared" si="0"/>
        <v>1341000</v>
      </c>
      <c r="G15" s="26">
        <f>'TSMC Coefficients'!$E$25</f>
        <v>44.757709251101325</v>
      </c>
      <c r="H15" s="27">
        <f t="shared" si="1"/>
        <v>60.020088105726877</v>
      </c>
      <c r="I15" s="28">
        <f>H15/'TSMC Coefficients'!$B$6</f>
        <v>1.9261902472954711</v>
      </c>
      <c r="J15" s="4" t="s">
        <v>30</v>
      </c>
      <c r="K15" s="4" t="s">
        <v>437</v>
      </c>
    </row>
    <row r="16" spans="1:11" ht="28" x14ac:dyDescent="0.2">
      <c r="A16" s="3" t="s">
        <v>422</v>
      </c>
      <c r="B16" s="4" t="s">
        <v>438</v>
      </c>
      <c r="C16" s="31">
        <v>10338</v>
      </c>
      <c r="D16" s="4" t="s">
        <v>439</v>
      </c>
      <c r="E16" s="16">
        <v>1000</v>
      </c>
      <c r="F16" s="25">
        <f t="shared" si="0"/>
        <v>10338000</v>
      </c>
      <c r="G16" s="26">
        <f>'TSMC Coefficients'!$E$25</f>
        <v>44.757709251101325</v>
      </c>
      <c r="H16" s="27">
        <f t="shared" si="1"/>
        <v>462.7051982378855</v>
      </c>
      <c r="I16" s="28">
        <f>H16/'TSMC Coefficients'!$B$6</f>
        <v>14.849332420984773</v>
      </c>
      <c r="J16" s="4" t="s">
        <v>30</v>
      </c>
      <c r="K16" s="4" t="s">
        <v>440</v>
      </c>
    </row>
    <row r="17" spans="1:11" x14ac:dyDescent="0.2">
      <c r="A17" s="3" t="s">
        <v>441</v>
      </c>
      <c r="B17" s="4" t="s">
        <v>442</v>
      </c>
      <c r="C17" s="25">
        <f>C30</f>
        <v>1773.0144827586205</v>
      </c>
      <c r="D17" s="4" t="s">
        <v>443</v>
      </c>
      <c r="E17" s="16">
        <v>1</v>
      </c>
      <c r="F17" s="25">
        <f t="shared" si="0"/>
        <v>1773.0144827586205</v>
      </c>
      <c r="G17" s="26">
        <f>'TSMC Coefficients'!$E$26</f>
        <v>-2248.4276729559747</v>
      </c>
      <c r="H17" s="27">
        <f t="shared" si="1"/>
        <v>-3.9864948275862062</v>
      </c>
      <c r="I17" s="28">
        <f>H17/'TSMC Coefficients'!$B$6</f>
        <v>-0.12793629100084103</v>
      </c>
      <c r="J17" s="4" t="s">
        <v>30</v>
      </c>
      <c r="K17" s="4" t="s">
        <v>444</v>
      </c>
    </row>
    <row r="18" spans="1:11" x14ac:dyDescent="0.2">
      <c r="A18" s="3" t="s">
        <v>441</v>
      </c>
      <c r="B18" s="4" t="s">
        <v>445</v>
      </c>
      <c r="C18" s="32">
        <v>0</v>
      </c>
      <c r="D18" s="4" t="s">
        <v>446</v>
      </c>
      <c r="E18" s="16">
        <v>1</v>
      </c>
      <c r="F18" s="25">
        <f t="shared" si="0"/>
        <v>0</v>
      </c>
      <c r="G18" s="26">
        <f>'TSMC Coefficients'!$E$28</f>
        <v>-17119.838872104734</v>
      </c>
      <c r="H18" s="27">
        <f t="shared" si="1"/>
        <v>0</v>
      </c>
      <c r="I18" s="28">
        <f>H18/'TSMC Coefficients'!$B$6</f>
        <v>0</v>
      </c>
      <c r="J18" s="4" t="s">
        <v>30</v>
      </c>
      <c r="K18" s="4" t="s">
        <v>447</v>
      </c>
    </row>
    <row r="19" spans="1:11" ht="28" x14ac:dyDescent="0.2">
      <c r="A19" s="3" t="s">
        <v>441</v>
      </c>
      <c r="B19" s="4" t="s">
        <v>448</v>
      </c>
      <c r="C19" s="32">
        <v>0</v>
      </c>
      <c r="D19" s="4" t="s">
        <v>449</v>
      </c>
      <c r="E19" s="16">
        <v>1</v>
      </c>
      <c r="F19" s="25">
        <f t="shared" si="0"/>
        <v>0</v>
      </c>
      <c r="G19" s="26">
        <f>'TSMC Coefficients'!$E$29</f>
        <v>-1464000000</v>
      </c>
      <c r="H19" s="27">
        <f t="shared" si="1"/>
        <v>0</v>
      </c>
      <c r="I19" s="28">
        <f>H19/'TSMC Coefficients'!$B$6</f>
        <v>0</v>
      </c>
      <c r="J19" s="4" t="s">
        <v>30</v>
      </c>
      <c r="K19" s="4" t="s">
        <v>447</v>
      </c>
    </row>
    <row r="20" spans="1:11" x14ac:dyDescent="0.2">
      <c r="A20" s="3" t="s">
        <v>441</v>
      </c>
      <c r="B20" s="4" t="s">
        <v>450</v>
      </c>
      <c r="C20" s="32">
        <v>0</v>
      </c>
      <c r="D20" s="4" t="s">
        <v>390</v>
      </c>
      <c r="E20" s="16">
        <v>1</v>
      </c>
      <c r="F20" s="25">
        <f t="shared" si="0"/>
        <v>0</v>
      </c>
      <c r="G20" s="26">
        <f>'TSMC Coefficients'!$E$30</f>
        <v>-2025714.2857142857</v>
      </c>
      <c r="H20" s="27">
        <f t="shared" si="1"/>
        <v>0</v>
      </c>
      <c r="I20" s="28">
        <f>H20/'TSMC Coefficients'!$B$6</f>
        <v>0</v>
      </c>
      <c r="J20" s="4" t="s">
        <v>30</v>
      </c>
      <c r="K20" s="4" t="s">
        <v>447</v>
      </c>
    </row>
    <row r="21" spans="1:11" x14ac:dyDescent="0.2">
      <c r="A21" s="3" t="s">
        <v>441</v>
      </c>
      <c r="B21" s="4" t="s">
        <v>451</v>
      </c>
      <c r="C21" s="32">
        <v>0</v>
      </c>
      <c r="D21" s="4" t="s">
        <v>452</v>
      </c>
      <c r="E21" s="16">
        <v>1</v>
      </c>
      <c r="F21" s="25">
        <f t="shared" si="0"/>
        <v>0</v>
      </c>
      <c r="G21" s="26">
        <f>'TSMC Coefficients'!$E$31</f>
        <v>12059.328374631399</v>
      </c>
      <c r="H21" s="27">
        <f t="shared" si="1"/>
        <v>0</v>
      </c>
      <c r="I21" s="28">
        <f>H21/'TSMC Coefficients'!$B$6</f>
        <v>0</v>
      </c>
      <c r="J21" s="4" t="s">
        <v>30</v>
      </c>
      <c r="K21" s="4" t="s">
        <v>453</v>
      </c>
    </row>
    <row r="23" spans="1:11" x14ac:dyDescent="0.2">
      <c r="A23" s="5" t="s">
        <v>454</v>
      </c>
      <c r="B23" s="6"/>
      <c r="C23" s="6"/>
      <c r="D23" s="6"/>
      <c r="E23" s="6"/>
      <c r="F23" s="6"/>
      <c r="G23" s="6"/>
      <c r="H23" s="6"/>
      <c r="I23" s="6"/>
      <c r="J23" s="6"/>
      <c r="K23" s="6"/>
    </row>
    <row r="24" spans="1:11" x14ac:dyDescent="0.2">
      <c r="B24" s="3" t="s">
        <v>455</v>
      </c>
      <c r="C24" s="16">
        <v>85100</v>
      </c>
      <c r="K24" s="4" t="s">
        <v>63</v>
      </c>
    </row>
    <row r="25" spans="1:11" x14ac:dyDescent="0.2">
      <c r="B25" s="3" t="s">
        <v>456</v>
      </c>
      <c r="C25" s="18">
        <v>0.19</v>
      </c>
      <c r="K25" s="4" t="s">
        <v>257</v>
      </c>
    </row>
    <row r="26" spans="1:11" x14ac:dyDescent="0.2">
      <c r="B26" s="3" t="s">
        <v>457</v>
      </c>
      <c r="C26" s="18">
        <v>0.78</v>
      </c>
      <c r="K26" s="4" t="s">
        <v>257</v>
      </c>
    </row>
    <row r="27" spans="1:11" ht="28" x14ac:dyDescent="0.2">
      <c r="B27" s="3" t="s">
        <v>458</v>
      </c>
      <c r="C27" s="33">
        <f>C24/100*C25</f>
        <v>161.69</v>
      </c>
      <c r="K27" s="4" t="s">
        <v>459</v>
      </c>
    </row>
    <row r="28" spans="1:11" x14ac:dyDescent="0.2">
      <c r="B28" s="3" t="s">
        <v>460</v>
      </c>
      <c r="C28" s="33">
        <f>C24/100*C26</f>
        <v>663.78</v>
      </c>
      <c r="K28" s="4" t="s">
        <v>461</v>
      </c>
    </row>
    <row r="29" spans="1:11" x14ac:dyDescent="0.2">
      <c r="B29" s="3" t="s">
        <v>462</v>
      </c>
      <c r="C29" s="34">
        <f>'TSMC Coefficients'!E32</f>
        <v>10.96551724137931</v>
      </c>
      <c r="K29" s="4" t="s">
        <v>463</v>
      </c>
    </row>
    <row r="30" spans="1:11" x14ac:dyDescent="0.2">
      <c r="B30" s="3" t="s">
        <v>464</v>
      </c>
      <c r="C30" s="33">
        <f>C27*C29</f>
        <v>1773.0144827586205</v>
      </c>
      <c r="K30" s="4" t="s">
        <v>465</v>
      </c>
    </row>
    <row r="31" spans="1:11" ht="28" x14ac:dyDescent="0.2">
      <c r="B31" s="3" t="s">
        <v>466</v>
      </c>
      <c r="C31" s="35">
        <f>C28*'TSMC Coefficients'!E27/1000000</f>
        <v>-16.365610344827587</v>
      </c>
      <c r="K31" s="4" t="s">
        <v>467</v>
      </c>
    </row>
    <row r="33" spans="1:11" x14ac:dyDescent="0.2">
      <c r="A33" s="5" t="s">
        <v>468</v>
      </c>
      <c r="B33" s="6"/>
      <c r="C33" s="6"/>
      <c r="D33" s="6"/>
      <c r="E33" s="6"/>
      <c r="F33" s="6"/>
      <c r="G33" s="6"/>
      <c r="H33" s="6"/>
      <c r="I33" s="6"/>
      <c r="J33" s="6"/>
      <c r="K33" s="6"/>
    </row>
    <row r="34" spans="1:11" ht="42" x14ac:dyDescent="0.2">
      <c r="A34" s="7" t="s">
        <v>330</v>
      </c>
      <c r="B34" s="7" t="s">
        <v>469</v>
      </c>
      <c r="C34" s="7" t="s">
        <v>470</v>
      </c>
      <c r="D34" s="7" t="s">
        <v>471</v>
      </c>
      <c r="E34" s="7" t="s">
        <v>472</v>
      </c>
      <c r="F34" s="7" t="s">
        <v>473</v>
      </c>
      <c r="G34" s="7" t="s">
        <v>474</v>
      </c>
      <c r="H34" s="7" t="s">
        <v>475</v>
      </c>
      <c r="I34" s="7" t="s">
        <v>476</v>
      </c>
      <c r="J34" s="7" t="s">
        <v>477</v>
      </c>
      <c r="K34" s="7" t="s">
        <v>26</v>
      </c>
    </row>
    <row r="35" spans="1:11" x14ac:dyDescent="0.2">
      <c r="A35" s="3" t="s">
        <v>407</v>
      </c>
      <c r="B35" s="27">
        <f>SUMIFS($H$5:$H$21,$A$5:$A$21,A35,$J$5:$J$21,"Yes",$H$5:$H$21,"&gt;0")</f>
        <v>4706.041008403362</v>
      </c>
      <c r="C35" s="27">
        <f>SUMIFS($H$5:$H$21,$A$5:$A$21,A35,$J$5:$J$21,"Yes",$H$5:$H$21,"&lt;0")</f>
        <v>-10038.923999999999</v>
      </c>
      <c r="D35" s="36">
        <f>B35+C35</f>
        <v>-5332.8829915966371</v>
      </c>
      <c r="E35" s="36">
        <f>D35/'TSMC Coefficients'!$B$6</f>
        <v>-171.1451537739614</v>
      </c>
      <c r="F35" s="37">
        <v>41681</v>
      </c>
      <c r="G35" s="37">
        <v>-120105</v>
      </c>
      <c r="H35" s="27">
        <f>F35+G35</f>
        <v>-78424</v>
      </c>
      <c r="I35" s="27">
        <f>H35/'TSMC Coefficients'!$B$6</f>
        <v>-2516.8164313222078</v>
      </c>
      <c r="J35" s="38">
        <f>IFERROR(D35/H35,0)</f>
        <v>6.800065020397629E-2</v>
      </c>
      <c r="K35" s="4" t="s">
        <v>78</v>
      </c>
    </row>
    <row r="36" spans="1:11" x14ac:dyDescent="0.2">
      <c r="A36" s="3" t="s">
        <v>422</v>
      </c>
      <c r="B36" s="27">
        <f>SUMIFS($H$5:$H$21,$A$5:$A$21,A36,$J$5:$J$21,"Yes",$H$5:$H$21,"&gt;0")</f>
        <v>2531.9321201994117</v>
      </c>
      <c r="C36" s="27">
        <f>SUMIFS($H$5:$H$21,$A$5:$A$21,A36,$J$5:$J$21,"Yes",$H$5:$H$21,"&lt;0")</f>
        <v>-2099.6816516953236</v>
      </c>
      <c r="D36" s="36">
        <f>B36+C36</f>
        <v>432.25046850408808</v>
      </c>
      <c r="E36" s="36">
        <f>D36/'TSMC Coefficients'!$B$6</f>
        <v>13.871966254945059</v>
      </c>
      <c r="F36" s="37">
        <v>16151</v>
      </c>
      <c r="G36" s="37">
        <v>-6282</v>
      </c>
      <c r="H36" s="27">
        <f>F36+G36</f>
        <v>9869</v>
      </c>
      <c r="I36" s="27">
        <f>H36/'TSMC Coefficients'!$B$6</f>
        <v>316.72015404364572</v>
      </c>
      <c r="J36" s="38">
        <f>IFERROR(D36/H36,0)</f>
        <v>4.3798811278152605E-2</v>
      </c>
      <c r="K36" s="4" t="s">
        <v>478</v>
      </c>
    </row>
    <row r="37" spans="1:11" x14ac:dyDescent="0.2">
      <c r="A37" s="3" t="s">
        <v>441</v>
      </c>
      <c r="B37" s="27">
        <f>SUMIFS($H$5:$H$21,$A$5:$A$21,A37,$J$5:$J$21,"Yes",$H$5:$H$21,"&gt;0")</f>
        <v>0</v>
      </c>
      <c r="C37" s="27">
        <f>SUMIFS($H$5:$H$21,$A$5:$A$21,A37,$J$5:$J$21,"Yes",$H$5:$H$21,"&lt;0")</f>
        <v>-3.9864948275862062</v>
      </c>
      <c r="D37" s="36">
        <f>B37+C37</f>
        <v>-3.9864948275862062</v>
      </c>
      <c r="E37" s="36">
        <f>D37/'TSMC Coefficients'!$B$6</f>
        <v>-0.12793629100084103</v>
      </c>
      <c r="F37" s="37">
        <v>274</v>
      </c>
      <c r="G37" s="37">
        <v>-75.150000000000006</v>
      </c>
      <c r="H37" s="27">
        <f>F37+G37</f>
        <v>198.85</v>
      </c>
      <c r="I37" s="27">
        <f>H37/'TSMC Coefficients'!$B$6</f>
        <v>6.3815789473684212</v>
      </c>
      <c r="J37" s="38">
        <f>IFERROR(D37/H37,0)</f>
        <v>-2.0047748692915295E-2</v>
      </c>
      <c r="K37" s="4" t="s">
        <v>479</v>
      </c>
    </row>
    <row r="38" spans="1:11" x14ac:dyDescent="0.2">
      <c r="A38" s="39" t="s">
        <v>480</v>
      </c>
      <c r="B38" s="40">
        <f t="shared" ref="B38:I38" si="2">SUM(B35:B37)</f>
        <v>7237.9731286027736</v>
      </c>
      <c r="C38" s="40">
        <f t="shared" si="2"/>
        <v>-12142.592146522909</v>
      </c>
      <c r="D38" s="40">
        <f t="shared" si="2"/>
        <v>-4904.6190179201349</v>
      </c>
      <c r="E38" s="40">
        <f t="shared" si="2"/>
        <v>-157.4011238100172</v>
      </c>
      <c r="F38" s="40">
        <f t="shared" si="2"/>
        <v>58106</v>
      </c>
      <c r="G38" s="40">
        <f t="shared" si="2"/>
        <v>-126462.15</v>
      </c>
      <c r="H38" s="40">
        <f t="shared" si="2"/>
        <v>-68356.149999999994</v>
      </c>
      <c r="I38" s="40">
        <f t="shared" si="2"/>
        <v>-2193.7146983311936</v>
      </c>
      <c r="J38" s="41">
        <f>IFERROR(D38/H38,0)</f>
        <v>7.1750954638611669E-2</v>
      </c>
      <c r="K38" s="42"/>
    </row>
    <row r="40" spans="1:11" x14ac:dyDescent="0.2">
      <c r="A40" s="43" t="s">
        <v>481</v>
      </c>
    </row>
    <row r="41" spans="1:11" x14ac:dyDescent="0.2">
      <c r="A41" s="43" t="s">
        <v>482</v>
      </c>
    </row>
    <row r="42" spans="1:11" x14ac:dyDescent="0.2">
      <c r="A42" s="43" t="s">
        <v>483</v>
      </c>
    </row>
    <row r="43" spans="1:11" x14ac:dyDescent="0.2">
      <c r="A43" s="43" t="s">
        <v>484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2"/>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56" customWidth="1"/>
    <col min="2" max="6" width="12" customWidth="1"/>
    <col min="7" max="7" width="16" customWidth="1"/>
    <col min="8" max="8" width="50" customWidth="1"/>
  </cols>
  <sheetData>
    <row r="1" spans="1:8" ht="18" x14ac:dyDescent="0.2">
      <c r="A1" s="1" t="s">
        <v>485</v>
      </c>
    </row>
    <row r="2" spans="1:8" x14ac:dyDescent="0.2">
      <c r="A2" s="2" t="s">
        <v>486</v>
      </c>
    </row>
    <row r="4" spans="1:8" x14ac:dyDescent="0.2">
      <c r="A4" s="7" t="s">
        <v>487</v>
      </c>
      <c r="B4" s="7" t="s">
        <v>347</v>
      </c>
      <c r="C4" s="7" t="s">
        <v>348</v>
      </c>
      <c r="D4" s="7" t="s">
        <v>349</v>
      </c>
      <c r="E4" s="7" t="s">
        <v>350</v>
      </c>
      <c r="F4" s="7" t="s">
        <v>351</v>
      </c>
      <c r="G4" s="7" t="s">
        <v>324</v>
      </c>
      <c r="H4" s="7" t="s">
        <v>488</v>
      </c>
    </row>
    <row r="5" spans="1:8" x14ac:dyDescent="0.2">
      <c r="A5" s="9" t="s">
        <v>489</v>
      </c>
      <c r="B5" s="44">
        <v>-65695</v>
      </c>
      <c r="C5" s="44">
        <v>-78059</v>
      </c>
      <c r="D5" s="44">
        <v>-95869</v>
      </c>
      <c r="E5" s="44">
        <v>-107736</v>
      </c>
      <c r="F5" s="44">
        <v>-120105</v>
      </c>
      <c r="G5" s="4" t="s">
        <v>490</v>
      </c>
      <c r="H5" s="4" t="s">
        <v>491</v>
      </c>
    </row>
    <row r="6" spans="1:8" x14ac:dyDescent="0.2">
      <c r="A6" s="9" t="s">
        <v>492</v>
      </c>
      <c r="B6" s="44">
        <v>5193</v>
      </c>
      <c r="C6" s="44">
        <v>7398</v>
      </c>
      <c r="D6" s="44">
        <v>9173</v>
      </c>
      <c r="E6" s="44">
        <v>13050</v>
      </c>
      <c r="F6" s="44">
        <v>21317</v>
      </c>
      <c r="G6" s="4" t="s">
        <v>490</v>
      </c>
      <c r="H6" s="4" t="s">
        <v>491</v>
      </c>
    </row>
    <row r="7" spans="1:8" x14ac:dyDescent="0.2">
      <c r="A7" s="9" t="s">
        <v>493</v>
      </c>
      <c r="B7" s="44">
        <v>9278</v>
      </c>
      <c r="C7" s="44">
        <v>12217</v>
      </c>
      <c r="D7" s="44">
        <v>14931</v>
      </c>
      <c r="E7" s="44">
        <v>17289</v>
      </c>
      <c r="F7" s="44">
        <v>20364</v>
      </c>
      <c r="G7" s="4" t="s">
        <v>490</v>
      </c>
      <c r="H7" s="4" t="s">
        <v>494</v>
      </c>
    </row>
    <row r="8" spans="1:8" x14ac:dyDescent="0.2">
      <c r="A8" s="9" t="s">
        <v>495</v>
      </c>
      <c r="B8" s="44">
        <v>-16168</v>
      </c>
      <c r="C8" s="44">
        <v>-20496</v>
      </c>
      <c r="D8" s="44">
        <v>-19040</v>
      </c>
      <c r="E8" s="44">
        <v>-29876</v>
      </c>
      <c r="F8" s="44">
        <v>-39540</v>
      </c>
      <c r="G8" s="4" t="s">
        <v>490</v>
      </c>
      <c r="H8" s="4" t="s">
        <v>491</v>
      </c>
    </row>
    <row r="9" spans="1:8" x14ac:dyDescent="0.2">
      <c r="A9" s="9" t="s">
        <v>496</v>
      </c>
      <c r="B9" s="44">
        <v>-3660</v>
      </c>
      <c r="C9" s="44">
        <v>-4612</v>
      </c>
      <c r="D9" s="44">
        <v>-4539</v>
      </c>
      <c r="E9" s="44">
        <v>-4861</v>
      </c>
      <c r="F9" s="44">
        <v>-5709</v>
      </c>
      <c r="G9" s="4" t="s">
        <v>490</v>
      </c>
      <c r="H9" s="4" t="s">
        <v>494</v>
      </c>
    </row>
    <row r="10" spans="1:8" x14ac:dyDescent="0.2">
      <c r="A10" s="9" t="s">
        <v>497</v>
      </c>
      <c r="B10" s="44">
        <v>-375</v>
      </c>
      <c r="C10" s="44">
        <v>-447</v>
      </c>
      <c r="D10" s="44">
        <v>-403</v>
      </c>
      <c r="E10" s="44">
        <v>-417</v>
      </c>
      <c r="F10" s="44">
        <v>-573</v>
      </c>
      <c r="G10" s="4" t="s">
        <v>490</v>
      </c>
      <c r="H10" s="4" t="s">
        <v>494</v>
      </c>
    </row>
    <row r="11" spans="1:8" x14ac:dyDescent="0.2">
      <c r="A11" s="9" t="s">
        <v>498</v>
      </c>
      <c r="B11" s="44">
        <v>8822</v>
      </c>
      <c r="C11" s="44">
        <v>10122</v>
      </c>
      <c r="D11" s="44">
        <v>13513</v>
      </c>
      <c r="E11" s="44">
        <v>13459</v>
      </c>
      <c r="F11" s="44">
        <v>15135</v>
      </c>
      <c r="G11" s="4" t="s">
        <v>490</v>
      </c>
      <c r="H11" s="4" t="s">
        <v>494</v>
      </c>
    </row>
    <row r="12" spans="1:8" x14ac:dyDescent="0.2">
      <c r="A12" s="9" t="s">
        <v>499</v>
      </c>
      <c r="B12" s="44">
        <v>0</v>
      </c>
      <c r="C12" s="44">
        <v>0</v>
      </c>
      <c r="D12" s="44">
        <v>563</v>
      </c>
      <c r="E12" s="44">
        <v>878</v>
      </c>
      <c r="F12" s="44">
        <v>1016</v>
      </c>
      <c r="G12" s="4" t="s">
        <v>490</v>
      </c>
      <c r="H12" s="4" t="s">
        <v>500</v>
      </c>
    </row>
    <row r="13" spans="1:8" x14ac:dyDescent="0.2">
      <c r="A13" s="9" t="s">
        <v>501</v>
      </c>
      <c r="B13" s="44">
        <v>0</v>
      </c>
      <c r="C13" s="44">
        <v>0</v>
      </c>
      <c r="D13" s="44">
        <v>388</v>
      </c>
      <c r="E13" s="44">
        <v>509</v>
      </c>
      <c r="F13" s="44">
        <v>274</v>
      </c>
      <c r="G13" s="4" t="s">
        <v>490</v>
      </c>
      <c r="H13" s="4" t="s">
        <v>502</v>
      </c>
    </row>
    <row r="14" spans="1:8" x14ac:dyDescent="0.2">
      <c r="A14" s="9" t="s">
        <v>503</v>
      </c>
      <c r="B14" s="44">
        <v>-22</v>
      </c>
      <c r="C14" s="44">
        <v>-28</v>
      </c>
      <c r="D14" s="44">
        <v>-47</v>
      </c>
      <c r="E14" s="44">
        <v>-57</v>
      </c>
      <c r="F14" s="44">
        <v>-57</v>
      </c>
      <c r="G14" s="4" t="s">
        <v>490</v>
      </c>
      <c r="H14" s="4" t="s">
        <v>491</v>
      </c>
    </row>
    <row r="15" spans="1:8" x14ac:dyDescent="0.2">
      <c r="A15" s="9" t="s">
        <v>504</v>
      </c>
      <c r="B15" s="44">
        <v>-2</v>
      </c>
      <c r="C15" s="44">
        <v>-1</v>
      </c>
      <c r="D15" s="44">
        <v>-1</v>
      </c>
      <c r="E15" s="44">
        <v>-1</v>
      </c>
      <c r="F15" s="44">
        <v>-1</v>
      </c>
      <c r="G15" s="4" t="s">
        <v>490</v>
      </c>
      <c r="H15" s="4" t="s">
        <v>505</v>
      </c>
    </row>
    <row r="16" spans="1:8" x14ac:dyDescent="0.2">
      <c r="A16" s="9" t="s">
        <v>506</v>
      </c>
      <c r="B16" s="44">
        <v>-2</v>
      </c>
      <c r="C16" s="44">
        <v>-2</v>
      </c>
      <c r="D16" s="44">
        <v>-16</v>
      </c>
      <c r="E16" s="44">
        <v>-17</v>
      </c>
      <c r="F16" s="44">
        <v>-17</v>
      </c>
      <c r="G16" s="4" t="s">
        <v>490</v>
      </c>
      <c r="H16" s="4" t="s">
        <v>507</v>
      </c>
    </row>
    <row r="17" spans="1:8" x14ac:dyDescent="0.2">
      <c r="A17" s="9" t="s">
        <v>508</v>
      </c>
      <c r="B17" s="44">
        <v>44</v>
      </c>
      <c r="C17" s="44">
        <v>35</v>
      </c>
      <c r="D17" s="44">
        <v>48</v>
      </c>
      <c r="E17" s="44">
        <v>37</v>
      </c>
      <c r="F17" s="44">
        <v>58</v>
      </c>
      <c r="G17" s="4" t="s">
        <v>509</v>
      </c>
      <c r="H17" s="4" t="s">
        <v>241</v>
      </c>
    </row>
    <row r="18" spans="1:8" x14ac:dyDescent="0.2">
      <c r="A18" s="9" t="s">
        <v>510</v>
      </c>
      <c r="B18" s="44">
        <v>826</v>
      </c>
      <c r="C18" s="44">
        <v>385</v>
      </c>
      <c r="D18" s="44">
        <v>534</v>
      </c>
      <c r="E18" s="44">
        <v>397</v>
      </c>
      <c r="F18" s="44">
        <v>636</v>
      </c>
      <c r="G18" s="4" t="s">
        <v>247</v>
      </c>
      <c r="H18" s="4" t="s">
        <v>241</v>
      </c>
    </row>
    <row r="19" spans="1:8" x14ac:dyDescent="0.2">
      <c r="A19" s="9" t="s">
        <v>511</v>
      </c>
      <c r="B19" s="18">
        <v>0.38</v>
      </c>
      <c r="C19" s="18">
        <v>0.27</v>
      </c>
      <c r="D19" s="18">
        <v>0.35</v>
      </c>
      <c r="E19" s="18">
        <v>0.26</v>
      </c>
      <c r="F19" s="18">
        <v>0.34</v>
      </c>
      <c r="G19" s="4" t="s">
        <v>512</v>
      </c>
      <c r="H19" s="4" t="s">
        <v>241</v>
      </c>
    </row>
    <row r="20" spans="1:8" x14ac:dyDescent="0.2">
      <c r="A20" s="45" t="s">
        <v>513</v>
      </c>
      <c r="B20" s="18">
        <v>1.5</v>
      </c>
      <c r="C20" s="18">
        <v>1.53</v>
      </c>
      <c r="D20" s="18">
        <v>0.89</v>
      </c>
      <c r="E20" s="18">
        <v>1.2</v>
      </c>
      <c r="F20" s="18">
        <v>1.32</v>
      </c>
      <c r="G20" s="4" t="s">
        <v>514</v>
      </c>
      <c r="H20" s="4" t="s">
        <v>63</v>
      </c>
    </row>
    <row r="21" spans="1:8" x14ac:dyDescent="0.2">
      <c r="A21" s="45" t="s">
        <v>515</v>
      </c>
      <c r="B21" s="46">
        <v>0.8</v>
      </c>
      <c r="C21" s="46">
        <v>0.93</v>
      </c>
      <c r="D21" s="46">
        <v>0.99</v>
      </c>
      <c r="E21" s="46">
        <v>0.98</v>
      </c>
      <c r="F21" s="46">
        <v>0.99</v>
      </c>
      <c r="G21" s="4" t="s">
        <v>51</v>
      </c>
      <c r="H21" s="4" t="s">
        <v>63</v>
      </c>
    </row>
    <row r="22" spans="1:8" x14ac:dyDescent="0.2">
      <c r="A22" s="45" t="s">
        <v>516</v>
      </c>
      <c r="B22" s="18">
        <v>11.6</v>
      </c>
      <c r="C22" s="18">
        <v>10.9</v>
      </c>
      <c r="D22" s="18">
        <v>10.8</v>
      </c>
      <c r="E22" s="18">
        <v>11.4</v>
      </c>
      <c r="F22" s="18">
        <v>12</v>
      </c>
      <c r="G22" s="4" t="s">
        <v>56</v>
      </c>
      <c r="H22" s="4" t="s">
        <v>63</v>
      </c>
    </row>
    <row r="23" spans="1:8" x14ac:dyDescent="0.2">
      <c r="A23" s="45" t="s">
        <v>517</v>
      </c>
      <c r="B23" s="18">
        <v>14.3</v>
      </c>
      <c r="C23" s="18">
        <v>10.9</v>
      </c>
      <c r="D23" s="18">
        <v>10.5</v>
      </c>
      <c r="E23" s="18">
        <v>11.1</v>
      </c>
      <c r="F23" s="18">
        <v>11.1</v>
      </c>
      <c r="G23" s="4" t="s">
        <v>518</v>
      </c>
      <c r="H23" s="4" t="s">
        <v>63</v>
      </c>
    </row>
    <row r="24" spans="1:8" x14ac:dyDescent="0.2">
      <c r="A24" s="45" t="s">
        <v>519</v>
      </c>
      <c r="B24" s="18">
        <v>9.3000000000000007</v>
      </c>
      <c r="C24" s="18">
        <v>9.6</v>
      </c>
      <c r="D24" s="18">
        <v>10.199999999999999</v>
      </c>
      <c r="E24" s="18">
        <v>10.5</v>
      </c>
      <c r="F24" s="18">
        <v>11.2</v>
      </c>
      <c r="G24" s="4" t="s">
        <v>518</v>
      </c>
      <c r="H24" s="4" t="s">
        <v>63</v>
      </c>
    </row>
    <row r="25" spans="1:8" x14ac:dyDescent="0.2">
      <c r="A25" s="45" t="s">
        <v>520</v>
      </c>
      <c r="B25" s="46">
        <v>0.99</v>
      </c>
      <c r="C25" s="46">
        <v>1.07</v>
      </c>
      <c r="D25" s="46">
        <v>1.1000000000000001</v>
      </c>
      <c r="E25" s="46">
        <v>1.06</v>
      </c>
      <c r="F25" s="46">
        <v>1.03</v>
      </c>
      <c r="G25" s="4" t="s">
        <v>165</v>
      </c>
      <c r="H25" s="4" t="s">
        <v>63</v>
      </c>
    </row>
    <row r="26" spans="1:8" x14ac:dyDescent="0.2">
      <c r="A26" s="45" t="s">
        <v>521</v>
      </c>
      <c r="B26" s="18">
        <v>0.93</v>
      </c>
      <c r="C26" s="18">
        <v>0.9</v>
      </c>
      <c r="D26" s="18">
        <v>0.83</v>
      </c>
      <c r="E26" s="18">
        <v>0.71</v>
      </c>
      <c r="F26" s="18">
        <v>0.78</v>
      </c>
      <c r="G26" s="4" t="s">
        <v>522</v>
      </c>
      <c r="H26" s="4" t="s">
        <v>63</v>
      </c>
    </row>
    <row r="27" spans="1:8" x14ac:dyDescent="0.2">
      <c r="A27" s="45" t="s">
        <v>523</v>
      </c>
      <c r="B27" s="18">
        <v>0.2</v>
      </c>
      <c r="C27" s="18">
        <v>0.22</v>
      </c>
      <c r="D27" s="18">
        <v>0.16</v>
      </c>
      <c r="E27" s="18">
        <v>0.17</v>
      </c>
      <c r="F27" s="18">
        <v>0.19</v>
      </c>
      <c r="G27" s="4" t="s">
        <v>522</v>
      </c>
      <c r="H27" s="4" t="s">
        <v>63</v>
      </c>
    </row>
    <row r="29" spans="1:8" x14ac:dyDescent="0.2">
      <c r="A29" s="5" t="s">
        <v>524</v>
      </c>
      <c r="B29" s="6"/>
      <c r="C29" s="6"/>
      <c r="D29" s="6"/>
      <c r="E29" s="6"/>
      <c r="F29" s="6"/>
      <c r="G29" s="6"/>
      <c r="H29" s="6"/>
    </row>
    <row r="30" spans="1:8" x14ac:dyDescent="0.2">
      <c r="A30" s="7" t="s">
        <v>487</v>
      </c>
      <c r="B30" s="7" t="s">
        <v>347</v>
      </c>
      <c r="C30" s="7" t="s">
        <v>348</v>
      </c>
      <c r="D30" s="7" t="s">
        <v>349</v>
      </c>
      <c r="E30" s="7" t="s">
        <v>350</v>
      </c>
      <c r="F30" s="7" t="s">
        <v>351</v>
      </c>
      <c r="G30" s="7" t="s">
        <v>324</v>
      </c>
      <c r="H30" s="7" t="s">
        <v>525</v>
      </c>
    </row>
    <row r="31" spans="1:8" x14ac:dyDescent="0.2">
      <c r="A31" s="3" t="s">
        <v>526</v>
      </c>
      <c r="B31" s="47">
        <f>-B20*'TSMC Coefficients'!A15</f>
        <v>-307.5</v>
      </c>
      <c r="C31" s="47">
        <f>-C20*'TSMC Coefficients'!B15</f>
        <v>-341.19</v>
      </c>
      <c r="D31" s="47">
        <f>-D20*'TSMC Coefficients'!C15</f>
        <v>-210.04</v>
      </c>
      <c r="E31" s="47">
        <f>-E20*'TSMC Coefficients'!D15</f>
        <v>-286.8</v>
      </c>
      <c r="F31" s="47">
        <f>-F20*'TSMC Coefficients'!E15</f>
        <v>-322.08000000000004</v>
      </c>
      <c r="G31" s="4" t="s">
        <v>527</v>
      </c>
      <c r="H31" s="4" t="s">
        <v>528</v>
      </c>
    </row>
    <row r="32" spans="1:8" ht="28" x14ac:dyDescent="0.2">
      <c r="A32" s="3" t="s">
        <v>529</v>
      </c>
      <c r="B32" s="47">
        <f>B23*3.785411784*'TSMC Coefficients'!$F$22</f>
        <v>-78.092268760282408</v>
      </c>
      <c r="C32" s="47">
        <f>C23*3.785411784*'TSMC Coefficients'!$F$22</f>
        <v>-59.524876187907573</v>
      </c>
      <c r="D32" s="47">
        <f>D23*3.785411784*'TSMC Coefficients'!$F$22</f>
        <v>-57.340477061745823</v>
      </c>
      <c r="E32" s="47">
        <f>E23*3.785411784*'TSMC Coefficients'!$F$22</f>
        <v>-60.617075750988441</v>
      </c>
      <c r="F32" s="47">
        <f>F23*3.785411784*'TSMC Coefficients'!$F$22</f>
        <v>-60.617075750988441</v>
      </c>
      <c r="G32" s="4" t="s">
        <v>527</v>
      </c>
      <c r="H32" s="4" t="s">
        <v>530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9"/>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1" width="14" customWidth="1"/>
    <col min="2" max="2" width="24" customWidth="1"/>
    <col min="3" max="4" width="14" customWidth="1"/>
    <col min="5" max="8" width="13" customWidth="1"/>
    <col min="9" max="9" width="14" customWidth="1"/>
    <col min="10" max="10" width="13" customWidth="1"/>
    <col min="11" max="11" width="16" customWidth="1"/>
  </cols>
  <sheetData>
    <row r="1" spans="1:11" ht="18" x14ac:dyDescent="0.2">
      <c r="A1" s="1" t="s">
        <v>531</v>
      </c>
    </row>
    <row r="2" spans="1:11" x14ac:dyDescent="0.2">
      <c r="A2" s="2" t="s">
        <v>532</v>
      </c>
    </row>
    <row r="4" spans="1:11" ht="42" x14ac:dyDescent="0.2">
      <c r="A4" s="7" t="s">
        <v>533</v>
      </c>
      <c r="B4" s="7" t="s">
        <v>534</v>
      </c>
      <c r="C4" s="7" t="s">
        <v>535</v>
      </c>
      <c r="D4" s="7" t="s">
        <v>536</v>
      </c>
      <c r="E4" s="7" t="s">
        <v>537</v>
      </c>
      <c r="F4" s="7" t="s">
        <v>538</v>
      </c>
      <c r="G4" s="7" t="s">
        <v>539</v>
      </c>
      <c r="H4" s="7" t="s">
        <v>540</v>
      </c>
      <c r="I4" s="7" t="s">
        <v>541</v>
      </c>
      <c r="J4" s="7" t="s">
        <v>542</v>
      </c>
      <c r="K4" s="7" t="s">
        <v>543</v>
      </c>
    </row>
    <row r="5" spans="1:11" x14ac:dyDescent="0.2">
      <c r="A5" s="4" t="s">
        <v>544</v>
      </c>
      <c r="B5" s="4" t="s">
        <v>545</v>
      </c>
      <c r="C5" s="48" t="s">
        <v>546</v>
      </c>
      <c r="D5" s="16">
        <v>463</v>
      </c>
      <c r="E5" s="16">
        <v>463</v>
      </c>
      <c r="F5" s="16">
        <v>170</v>
      </c>
      <c r="G5" s="16">
        <v>294</v>
      </c>
      <c r="H5" s="16">
        <v>124</v>
      </c>
      <c r="I5" s="16">
        <v>0</v>
      </c>
      <c r="J5" s="46">
        <v>0.37</v>
      </c>
      <c r="K5" s="17">
        <f>D5*1000*'TSMC Coefficients'!$F$22/1000000</f>
        <v>-0.66794370937907477</v>
      </c>
    </row>
    <row r="6" spans="1:11" x14ac:dyDescent="0.2">
      <c r="A6" s="4" t="s">
        <v>547</v>
      </c>
      <c r="B6" s="4" t="s">
        <v>548</v>
      </c>
      <c r="C6" s="4"/>
      <c r="D6" s="16">
        <v>490</v>
      </c>
      <c r="E6" s="16">
        <v>490</v>
      </c>
      <c r="F6" s="16">
        <v>162</v>
      </c>
      <c r="G6" s="16">
        <v>328</v>
      </c>
      <c r="H6" s="16">
        <v>0</v>
      </c>
      <c r="I6" s="16">
        <v>454</v>
      </c>
      <c r="J6" s="46">
        <v>1.26</v>
      </c>
      <c r="K6" s="17">
        <f>D6*1000*'TSMC Coefficients'!$F$22/1000000</f>
        <v>-0.70689507040118049</v>
      </c>
    </row>
    <row r="7" spans="1:11" x14ac:dyDescent="0.2">
      <c r="A7" s="4" t="s">
        <v>549</v>
      </c>
      <c r="B7" s="4" t="s">
        <v>550</v>
      </c>
      <c r="C7" s="49" t="s">
        <v>551</v>
      </c>
      <c r="D7" s="16">
        <v>105</v>
      </c>
      <c r="E7" s="16">
        <v>105</v>
      </c>
      <c r="F7" s="16">
        <v>0</v>
      </c>
      <c r="G7" s="16">
        <v>105</v>
      </c>
      <c r="H7" s="16">
        <v>93</v>
      </c>
      <c r="I7" s="16">
        <v>295</v>
      </c>
      <c r="J7" s="46">
        <v>2.83</v>
      </c>
      <c r="K7" s="17">
        <f>D7*1000*'TSMC Coefficients'!$F$22/1000000</f>
        <v>-0.15147751508596727</v>
      </c>
    </row>
    <row r="8" spans="1:11" x14ac:dyDescent="0.2">
      <c r="A8" s="4" t="s">
        <v>552</v>
      </c>
      <c r="B8" s="4" t="s">
        <v>553</v>
      </c>
      <c r="C8" s="4"/>
      <c r="D8" s="16">
        <v>10911</v>
      </c>
      <c r="E8" s="16">
        <v>10911</v>
      </c>
      <c r="F8" s="16">
        <v>10376</v>
      </c>
      <c r="G8" s="16">
        <v>535</v>
      </c>
      <c r="H8" s="16">
        <v>3667</v>
      </c>
      <c r="I8" s="16">
        <v>0</v>
      </c>
      <c r="J8" s="46">
        <v>0.95</v>
      </c>
      <c r="K8" s="17">
        <f>D8*1000*'TSMC Coefficients'!$F$22/1000000</f>
        <v>-15.740677781933227</v>
      </c>
    </row>
    <row r="9" spans="1:11" x14ac:dyDescent="0.2">
      <c r="A9" s="4" t="s">
        <v>554</v>
      </c>
      <c r="B9" s="4" t="s">
        <v>555</v>
      </c>
      <c r="C9" s="49" t="s">
        <v>551</v>
      </c>
      <c r="D9" s="16">
        <v>26</v>
      </c>
      <c r="E9" s="16">
        <v>131</v>
      </c>
      <c r="F9" s="16">
        <v>52</v>
      </c>
      <c r="G9" s="16">
        <v>79</v>
      </c>
      <c r="H9" s="16">
        <v>1</v>
      </c>
      <c r="I9" s="16">
        <v>0</v>
      </c>
      <c r="J9" s="46">
        <v>0.52</v>
      </c>
      <c r="K9" s="17">
        <f>D9*1000*'TSMC Coefficients'!$F$22/1000000</f>
        <v>-3.7508718021287135E-2</v>
      </c>
    </row>
    <row r="10" spans="1:11" x14ac:dyDescent="0.2">
      <c r="A10" s="4" t="s">
        <v>554</v>
      </c>
      <c r="B10" s="4" t="s">
        <v>556</v>
      </c>
      <c r="C10" s="49" t="s">
        <v>551</v>
      </c>
      <c r="D10" s="16">
        <v>7</v>
      </c>
      <c r="E10" s="16">
        <v>35</v>
      </c>
      <c r="F10" s="16">
        <v>23</v>
      </c>
      <c r="G10" s="16">
        <v>11</v>
      </c>
      <c r="H10" s="16">
        <v>1</v>
      </c>
      <c r="I10" s="4"/>
      <c r="J10" s="4"/>
      <c r="K10" s="17">
        <f>D10*1000*'TSMC Coefficients'!$F$22/1000000</f>
        <v>-1.0098501005731153E-2</v>
      </c>
    </row>
    <row r="11" spans="1:11" x14ac:dyDescent="0.2">
      <c r="A11" s="4" t="s">
        <v>554</v>
      </c>
      <c r="B11" s="4" t="s">
        <v>557</v>
      </c>
      <c r="C11" s="49" t="s">
        <v>551</v>
      </c>
      <c r="D11" s="16">
        <v>757</v>
      </c>
      <c r="E11" s="16">
        <v>3785</v>
      </c>
      <c r="F11" s="16">
        <v>1987</v>
      </c>
      <c r="G11" s="16">
        <v>1798</v>
      </c>
      <c r="H11" s="16">
        <v>5926</v>
      </c>
      <c r="I11" s="4"/>
      <c r="J11" s="4"/>
      <c r="K11" s="17">
        <f>D11*1000*'TSMC Coefficients'!$F$22/1000000</f>
        <v>-1.092080751619783</v>
      </c>
    </row>
    <row r="12" spans="1:11" x14ac:dyDescent="0.2">
      <c r="A12" s="4" t="s">
        <v>558</v>
      </c>
      <c r="B12" s="4" t="s">
        <v>559</v>
      </c>
      <c r="C12" s="4"/>
      <c r="D12" s="16">
        <v>1143</v>
      </c>
      <c r="E12" s="16">
        <v>1143</v>
      </c>
      <c r="F12" s="16">
        <v>914</v>
      </c>
      <c r="G12" s="16">
        <v>229</v>
      </c>
      <c r="H12" s="16">
        <v>183</v>
      </c>
      <c r="I12" s="16">
        <v>178</v>
      </c>
      <c r="J12" s="46">
        <v>0.89</v>
      </c>
      <c r="K12" s="17">
        <f>D12*1000*'TSMC Coefficients'!$F$22/1000000</f>
        <v>-1.648940949935815</v>
      </c>
    </row>
    <row r="13" spans="1:11" x14ac:dyDescent="0.2">
      <c r="A13" s="4" t="s">
        <v>558</v>
      </c>
      <c r="B13" s="4" t="s">
        <v>560</v>
      </c>
      <c r="C13" s="4"/>
      <c r="D13" s="16">
        <v>732</v>
      </c>
      <c r="E13" s="16">
        <v>732</v>
      </c>
      <c r="F13" s="16">
        <v>585</v>
      </c>
      <c r="G13" s="16">
        <v>147</v>
      </c>
      <c r="H13" s="16">
        <v>26</v>
      </c>
      <c r="I13" s="4"/>
      <c r="J13" s="4"/>
      <c r="K13" s="17">
        <f>D13*1000*'TSMC Coefficients'!$F$22/1000000</f>
        <v>-1.0560146765993146</v>
      </c>
    </row>
    <row r="14" spans="1:11" x14ac:dyDescent="0.2">
      <c r="A14" s="4" t="s">
        <v>561</v>
      </c>
      <c r="B14" s="4" t="s">
        <v>562</v>
      </c>
      <c r="C14" s="4"/>
      <c r="D14" s="16">
        <v>14</v>
      </c>
      <c r="E14" s="16">
        <v>14</v>
      </c>
      <c r="F14" s="16">
        <v>10</v>
      </c>
      <c r="G14" s="16">
        <v>3</v>
      </c>
      <c r="H14" s="16">
        <v>3</v>
      </c>
      <c r="I14" s="16">
        <v>0</v>
      </c>
      <c r="J14" s="46">
        <v>0.75</v>
      </c>
      <c r="K14" s="17">
        <f>D14*1000*'TSMC Coefficients'!$F$22/1000000</f>
        <v>-2.0197002011462305E-2</v>
      </c>
    </row>
    <row r="15" spans="1:11" x14ac:dyDescent="0.2">
      <c r="A15" s="4" t="s">
        <v>563</v>
      </c>
      <c r="B15" s="4" t="s">
        <v>564</v>
      </c>
      <c r="C15" s="49" t="s">
        <v>551</v>
      </c>
      <c r="D15" s="16">
        <v>1328</v>
      </c>
      <c r="E15" s="16">
        <v>1328</v>
      </c>
      <c r="F15" s="16">
        <v>893</v>
      </c>
      <c r="G15" s="16">
        <v>435</v>
      </c>
      <c r="H15" s="16">
        <v>423</v>
      </c>
      <c r="I15" s="16">
        <v>9411</v>
      </c>
      <c r="J15" s="46">
        <v>1.08</v>
      </c>
      <c r="K15" s="17">
        <f>D15*1000*'TSMC Coefficients'!$F$22/1000000</f>
        <v>-1.9158299050872813</v>
      </c>
    </row>
    <row r="16" spans="1:11" x14ac:dyDescent="0.2">
      <c r="A16" s="4" t="s">
        <v>563</v>
      </c>
      <c r="B16" s="4" t="s">
        <v>565</v>
      </c>
      <c r="C16" s="49" t="s">
        <v>551</v>
      </c>
      <c r="D16" s="16">
        <v>9028</v>
      </c>
      <c r="E16" s="16">
        <v>10320</v>
      </c>
      <c r="F16" s="16">
        <v>7343</v>
      </c>
      <c r="G16" s="16">
        <v>2976</v>
      </c>
      <c r="H16" s="16">
        <v>14685</v>
      </c>
      <c r="I16" s="4"/>
      <c r="J16" s="4"/>
      <c r="K16" s="17">
        <f>D16*1000*'TSMC Coefficients'!$F$22/1000000</f>
        <v>-13.024181011391546</v>
      </c>
    </row>
    <row r="17" spans="1:11" x14ac:dyDescent="0.2">
      <c r="A17" s="4" t="s">
        <v>563</v>
      </c>
      <c r="B17" s="4" t="s">
        <v>566</v>
      </c>
      <c r="C17" s="4"/>
      <c r="D17" s="16">
        <v>199</v>
      </c>
      <c r="E17" s="16">
        <v>199</v>
      </c>
      <c r="F17" s="16">
        <v>113</v>
      </c>
      <c r="G17" s="16">
        <v>87</v>
      </c>
      <c r="H17" s="16">
        <v>28</v>
      </c>
      <c r="I17" s="4"/>
      <c r="J17" s="4"/>
      <c r="K17" s="17">
        <f>D17*1000*'TSMC Coefficients'!$F$22/1000000</f>
        <v>-0.2870859571629284</v>
      </c>
    </row>
    <row r="18" spans="1:11" x14ac:dyDescent="0.2">
      <c r="A18" s="4" t="s">
        <v>563</v>
      </c>
      <c r="B18" s="4" t="s">
        <v>567</v>
      </c>
      <c r="C18" s="4"/>
      <c r="D18" s="16">
        <v>361</v>
      </c>
      <c r="E18" s="16">
        <v>361</v>
      </c>
      <c r="F18" s="16">
        <v>106</v>
      </c>
      <c r="G18" s="16">
        <v>255</v>
      </c>
      <c r="H18" s="16">
        <v>0</v>
      </c>
      <c r="I18" s="4"/>
      <c r="J18" s="4"/>
      <c r="K18" s="17">
        <f>D18*1000*'TSMC Coefficients'!$F$22/1000000</f>
        <v>-0.52079412329556363</v>
      </c>
    </row>
    <row r="19" spans="1:11" x14ac:dyDescent="0.2">
      <c r="A19" s="4" t="s">
        <v>563</v>
      </c>
      <c r="B19" s="4" t="s">
        <v>568</v>
      </c>
      <c r="C19" s="4"/>
      <c r="D19" s="16">
        <v>610</v>
      </c>
      <c r="E19" s="16">
        <v>659</v>
      </c>
      <c r="F19" s="16">
        <v>458</v>
      </c>
      <c r="G19" s="16">
        <v>202</v>
      </c>
      <c r="H19" s="16">
        <v>0</v>
      </c>
      <c r="I19" s="4"/>
      <c r="J19" s="4"/>
      <c r="K19" s="17">
        <f>D19*1000*'TSMC Coefficients'!$F$22/1000000</f>
        <v>-0.88001223049942889</v>
      </c>
    </row>
    <row r="20" spans="1:11" x14ac:dyDescent="0.2">
      <c r="A20" s="4" t="s">
        <v>563</v>
      </c>
      <c r="B20" s="4" t="s">
        <v>569</v>
      </c>
      <c r="C20" s="48" t="s">
        <v>546</v>
      </c>
      <c r="D20" s="16">
        <v>4229</v>
      </c>
      <c r="E20" s="16">
        <v>4229</v>
      </c>
      <c r="F20" s="16">
        <v>3935</v>
      </c>
      <c r="G20" s="16">
        <v>291</v>
      </c>
      <c r="H20" s="16">
        <v>2817</v>
      </c>
      <c r="I20" s="4"/>
      <c r="J20" s="4"/>
      <c r="K20" s="17">
        <f>D20*1000*'TSMC Coefficients'!$F$22/1000000</f>
        <v>-6.100937250462434</v>
      </c>
    </row>
    <row r="21" spans="1:11" x14ac:dyDescent="0.2">
      <c r="A21" s="4" t="s">
        <v>563</v>
      </c>
      <c r="B21" s="4" t="s">
        <v>570</v>
      </c>
      <c r="C21" s="4"/>
      <c r="D21" s="16">
        <v>957</v>
      </c>
      <c r="E21" s="16">
        <v>957</v>
      </c>
      <c r="F21" s="16">
        <v>752</v>
      </c>
      <c r="G21" s="16">
        <v>205</v>
      </c>
      <c r="H21" s="16">
        <v>209</v>
      </c>
      <c r="I21" s="4"/>
      <c r="J21" s="4"/>
      <c r="K21" s="17">
        <f>D21*1000*'TSMC Coefficients'!$F$22/1000000</f>
        <v>-1.3806093517835303</v>
      </c>
    </row>
    <row r="22" spans="1:11" x14ac:dyDescent="0.2">
      <c r="A22" s="4" t="s">
        <v>563</v>
      </c>
      <c r="B22" s="4" t="s">
        <v>571</v>
      </c>
      <c r="C22" s="4"/>
      <c r="D22" s="16">
        <v>320</v>
      </c>
      <c r="E22" s="16">
        <v>320</v>
      </c>
      <c r="F22" s="16">
        <v>240</v>
      </c>
      <c r="G22" s="16">
        <v>80</v>
      </c>
      <c r="H22" s="16">
        <v>12</v>
      </c>
      <c r="I22" s="4"/>
      <c r="J22" s="4"/>
      <c r="K22" s="17">
        <f>D22*1000*'TSMC Coefficients'!$F$22/1000000</f>
        <v>-0.4616457602619955</v>
      </c>
    </row>
    <row r="23" spans="1:11" x14ac:dyDescent="0.2">
      <c r="A23" s="4" t="s">
        <v>563</v>
      </c>
      <c r="B23" s="4" t="s">
        <v>572</v>
      </c>
      <c r="C23" s="4"/>
      <c r="D23" s="16">
        <v>10050</v>
      </c>
      <c r="E23" s="16">
        <v>10050</v>
      </c>
      <c r="F23" s="16">
        <v>7066</v>
      </c>
      <c r="G23" s="16">
        <v>2984</v>
      </c>
      <c r="H23" s="16">
        <v>14046</v>
      </c>
      <c r="I23" s="4"/>
      <c r="J23" s="4"/>
      <c r="K23" s="17">
        <f>D23*1000*'TSMC Coefficients'!$F$22/1000000</f>
        <v>-14.498562158228294</v>
      </c>
    </row>
    <row r="24" spans="1:11" x14ac:dyDescent="0.2">
      <c r="A24" s="4" t="s">
        <v>573</v>
      </c>
      <c r="B24" s="4" t="s">
        <v>574</v>
      </c>
      <c r="C24" s="4"/>
      <c r="D24" s="16">
        <v>388</v>
      </c>
      <c r="E24" s="16">
        <v>388</v>
      </c>
      <c r="F24" s="16">
        <v>131</v>
      </c>
      <c r="G24" s="16">
        <v>256</v>
      </c>
      <c r="H24" s="16">
        <v>104</v>
      </c>
      <c r="I24" s="16">
        <v>0</v>
      </c>
      <c r="J24" s="46">
        <v>0.34</v>
      </c>
      <c r="K24" s="17">
        <f>D24*1000*'TSMC Coefficients'!$F$22/1000000</f>
        <v>-0.55974548431766957</v>
      </c>
    </row>
    <row r="25" spans="1:11" ht="28" x14ac:dyDescent="0.2">
      <c r="A25" s="39" t="s">
        <v>575</v>
      </c>
      <c r="B25" s="42"/>
      <c r="C25" s="42"/>
      <c r="D25" s="50">
        <f t="shared" ref="D25:I25" si="0">SUM(D5:D24)</f>
        <v>42118</v>
      </c>
      <c r="E25" s="50">
        <f t="shared" si="0"/>
        <v>46620</v>
      </c>
      <c r="F25" s="50">
        <f t="shared" si="0"/>
        <v>35316</v>
      </c>
      <c r="G25" s="50">
        <f t="shared" si="0"/>
        <v>11300</v>
      </c>
      <c r="H25" s="50">
        <f t="shared" si="0"/>
        <v>42348</v>
      </c>
      <c r="I25" s="50">
        <f t="shared" si="0"/>
        <v>10338</v>
      </c>
      <c r="J25" s="39" t="s">
        <v>576</v>
      </c>
      <c r="K25" s="51">
        <f>SUM(K5:K24)</f>
        <v>-60.761237908483523</v>
      </c>
    </row>
    <row r="26" spans="1:11" ht="28" x14ac:dyDescent="0.2">
      <c r="A26" s="3" t="s">
        <v>577</v>
      </c>
      <c r="D26" s="16">
        <v>42115</v>
      </c>
      <c r="E26" s="16">
        <v>46615</v>
      </c>
      <c r="F26" s="16">
        <v>35317</v>
      </c>
      <c r="G26" s="16">
        <v>11298</v>
      </c>
      <c r="H26" s="16">
        <v>42348</v>
      </c>
      <c r="I26" s="16">
        <v>10338</v>
      </c>
      <c r="J26" s="46">
        <v>1.03</v>
      </c>
    </row>
    <row r="27" spans="1:11" ht="42" x14ac:dyDescent="0.2">
      <c r="A27" s="3" t="s">
        <v>578</v>
      </c>
      <c r="D27" s="52">
        <f t="shared" ref="D27:I27" si="1">D25-D26</f>
        <v>3</v>
      </c>
      <c r="E27" s="52">
        <f t="shared" si="1"/>
        <v>5</v>
      </c>
      <c r="F27" s="52">
        <f t="shared" si="1"/>
        <v>-1</v>
      </c>
      <c r="G27" s="52">
        <f t="shared" si="1"/>
        <v>2</v>
      </c>
      <c r="H27" s="52">
        <f t="shared" si="1"/>
        <v>0</v>
      </c>
      <c r="I27" s="52">
        <f t="shared" si="1"/>
        <v>0</v>
      </c>
    </row>
    <row r="29" spans="1:11" ht="98" x14ac:dyDescent="0.2">
      <c r="A29" s="3" t="s">
        <v>579</v>
      </c>
      <c r="D29" s="25">
        <f>SUMIFS(D5:D24,C5:C24,"High")+SUMIFS(D5:D24,C5:C24,"Extremely high")</f>
        <v>15943</v>
      </c>
      <c r="E29" s="38">
        <f>D29/D25</f>
        <v>0.37853174414739543</v>
      </c>
      <c r="G29" s="4" t="s">
        <v>580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7"/>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1" width="14" customWidth="1"/>
    <col min="2" max="2" width="24" customWidth="1"/>
    <col min="3" max="5" width="13" customWidth="1"/>
    <col min="6" max="6" width="11" customWidth="1"/>
    <col min="7" max="7" width="10" customWidth="1"/>
    <col min="8" max="9" width="13" customWidth="1"/>
    <col min="10" max="10" width="12" customWidth="1"/>
    <col min="11" max="11" width="14" customWidth="1"/>
    <col min="12" max="12" width="16" customWidth="1"/>
  </cols>
  <sheetData>
    <row r="1" spans="1:12" ht="18" x14ac:dyDescent="0.2">
      <c r="A1" s="1" t="s">
        <v>581</v>
      </c>
    </row>
    <row r="2" spans="1:12" x14ac:dyDescent="0.2">
      <c r="A2" s="2" t="s">
        <v>582</v>
      </c>
    </row>
    <row r="4" spans="1:12" ht="42" x14ac:dyDescent="0.2">
      <c r="A4" s="7" t="s">
        <v>533</v>
      </c>
      <c r="B4" s="7" t="s">
        <v>534</v>
      </c>
      <c r="C4" s="7" t="s">
        <v>583</v>
      </c>
      <c r="D4" s="7" t="s">
        <v>584</v>
      </c>
      <c r="E4" s="7" t="s">
        <v>585</v>
      </c>
      <c r="F4" s="7" t="s">
        <v>586</v>
      </c>
      <c r="G4" s="7" t="s">
        <v>587</v>
      </c>
      <c r="H4" s="7" t="s">
        <v>588</v>
      </c>
      <c r="I4" s="7" t="s">
        <v>589</v>
      </c>
      <c r="J4" s="7" t="s">
        <v>590</v>
      </c>
      <c r="K4" s="7" t="s">
        <v>591</v>
      </c>
      <c r="L4" s="7" t="s">
        <v>592</v>
      </c>
    </row>
    <row r="5" spans="1:12" x14ac:dyDescent="0.2">
      <c r="A5" s="4" t="s">
        <v>544</v>
      </c>
      <c r="B5" s="4" t="s">
        <v>545</v>
      </c>
      <c r="C5" s="53">
        <v>0</v>
      </c>
      <c r="D5" s="53">
        <v>100</v>
      </c>
      <c r="E5" s="53">
        <v>2800</v>
      </c>
      <c r="F5" s="53">
        <v>0</v>
      </c>
      <c r="G5" s="53">
        <v>600</v>
      </c>
      <c r="H5" s="53">
        <v>3600</v>
      </c>
      <c r="I5" s="53">
        <v>0</v>
      </c>
      <c r="J5" s="46">
        <v>1</v>
      </c>
      <c r="K5" s="25">
        <f t="shared" ref="K5:K24" si="0">H5+I5</f>
        <v>3600</v>
      </c>
      <c r="L5" s="17">
        <f>K5*'TSMC Coefficients'!$F$10/1000000</f>
        <v>0.87666238767650828</v>
      </c>
    </row>
    <row r="6" spans="1:12" x14ac:dyDescent="0.2">
      <c r="A6" s="4" t="s">
        <v>547</v>
      </c>
      <c r="B6" s="4" t="s">
        <v>548</v>
      </c>
      <c r="C6" s="53">
        <v>0</v>
      </c>
      <c r="D6" s="53">
        <v>600</v>
      </c>
      <c r="E6" s="53">
        <v>500</v>
      </c>
      <c r="F6" s="53">
        <v>0</v>
      </c>
      <c r="G6" s="53">
        <v>0</v>
      </c>
      <c r="H6" s="53">
        <v>1100</v>
      </c>
      <c r="I6" s="53">
        <v>10900</v>
      </c>
      <c r="J6" s="46">
        <v>0.97</v>
      </c>
      <c r="K6" s="25">
        <f t="shared" si="0"/>
        <v>12000</v>
      </c>
      <c r="L6" s="17">
        <f>K6*'TSMC Coefficients'!$F$10/1000000</f>
        <v>2.9222079589216943</v>
      </c>
    </row>
    <row r="7" spans="1:12" x14ac:dyDescent="0.2">
      <c r="A7" s="4" t="s">
        <v>549</v>
      </c>
      <c r="B7" s="4" t="s">
        <v>593</v>
      </c>
      <c r="C7" s="53">
        <v>0</v>
      </c>
      <c r="D7" s="53">
        <v>600</v>
      </c>
      <c r="E7" s="53">
        <v>0</v>
      </c>
      <c r="F7" s="53">
        <v>0</v>
      </c>
      <c r="G7" s="53">
        <v>1000</v>
      </c>
      <c r="H7" s="53">
        <v>1600</v>
      </c>
      <c r="I7" s="53">
        <v>38100</v>
      </c>
      <c r="J7" s="46">
        <v>0</v>
      </c>
      <c r="K7" s="25">
        <f t="shared" si="0"/>
        <v>39700</v>
      </c>
      <c r="L7" s="17">
        <f>K7*'TSMC Coefficients'!$F$10/1000000</f>
        <v>9.6676379974326068</v>
      </c>
    </row>
    <row r="8" spans="1:12" x14ac:dyDescent="0.2">
      <c r="A8" s="4" t="s">
        <v>552</v>
      </c>
      <c r="B8" s="4" t="s">
        <v>553</v>
      </c>
      <c r="C8" s="53">
        <v>142100</v>
      </c>
      <c r="D8" s="53">
        <v>54300</v>
      </c>
      <c r="E8" s="53">
        <v>200</v>
      </c>
      <c r="F8" s="53">
        <v>37400</v>
      </c>
      <c r="G8" s="53">
        <v>1100</v>
      </c>
      <c r="H8" s="53">
        <v>235200</v>
      </c>
      <c r="I8" s="53">
        <v>0</v>
      </c>
      <c r="J8" s="46">
        <v>1</v>
      </c>
      <c r="K8" s="25">
        <f t="shared" si="0"/>
        <v>235200</v>
      </c>
      <c r="L8" s="17">
        <f>K8*'TSMC Coefficients'!$F$10/1000000</f>
        <v>57.275275994865211</v>
      </c>
    </row>
    <row r="9" spans="1:12" x14ac:dyDescent="0.2">
      <c r="A9" s="4" t="s">
        <v>554</v>
      </c>
      <c r="B9" s="4" t="s">
        <v>555</v>
      </c>
      <c r="C9" s="53">
        <v>0</v>
      </c>
      <c r="D9" s="53">
        <v>0</v>
      </c>
      <c r="E9" s="53">
        <v>0</v>
      </c>
      <c r="F9" s="53">
        <v>0</v>
      </c>
      <c r="G9" s="53">
        <v>900</v>
      </c>
      <c r="H9" s="53">
        <v>900</v>
      </c>
      <c r="I9" s="53">
        <v>0</v>
      </c>
      <c r="J9" s="46">
        <v>1</v>
      </c>
      <c r="K9" s="25">
        <f t="shared" si="0"/>
        <v>900</v>
      </c>
      <c r="L9" s="17">
        <f>K9*'TSMC Coefficients'!$F$10/1000000</f>
        <v>0.21916559691912707</v>
      </c>
    </row>
    <row r="10" spans="1:12" x14ac:dyDescent="0.2">
      <c r="A10" s="4" t="s">
        <v>554</v>
      </c>
      <c r="B10" s="4" t="s">
        <v>556</v>
      </c>
      <c r="C10" s="53">
        <v>0</v>
      </c>
      <c r="D10" s="53">
        <v>0</v>
      </c>
      <c r="E10" s="53">
        <v>0</v>
      </c>
      <c r="F10" s="53">
        <v>0</v>
      </c>
      <c r="G10" s="53">
        <v>800</v>
      </c>
      <c r="H10" s="53">
        <v>800</v>
      </c>
      <c r="I10" s="53">
        <v>0</v>
      </c>
      <c r="J10" s="46">
        <v>1</v>
      </c>
      <c r="K10" s="25">
        <f t="shared" si="0"/>
        <v>800</v>
      </c>
      <c r="L10" s="17">
        <f>K10*'TSMC Coefficients'!$F$10/1000000</f>
        <v>0.19481386392811295</v>
      </c>
    </row>
    <row r="11" spans="1:12" x14ac:dyDescent="0.2">
      <c r="A11" s="4" t="s">
        <v>554</v>
      </c>
      <c r="B11" s="4" t="s">
        <v>557</v>
      </c>
      <c r="C11" s="53">
        <v>106000</v>
      </c>
      <c r="D11" s="53">
        <v>34200</v>
      </c>
      <c r="E11" s="53">
        <v>62000</v>
      </c>
      <c r="F11" s="53">
        <v>24600</v>
      </c>
      <c r="G11" s="53">
        <v>1800</v>
      </c>
      <c r="H11" s="53">
        <v>228600</v>
      </c>
      <c r="I11" s="53">
        <v>0</v>
      </c>
      <c r="J11" s="46">
        <v>1</v>
      </c>
      <c r="K11" s="25">
        <f t="shared" si="0"/>
        <v>228600</v>
      </c>
      <c r="L11" s="17">
        <f>K11*'TSMC Coefficients'!$F$10/1000000</f>
        <v>55.668061617458278</v>
      </c>
    </row>
    <row r="12" spans="1:12" x14ac:dyDescent="0.2">
      <c r="A12" s="4" t="s">
        <v>558</v>
      </c>
      <c r="B12" s="4" t="s">
        <v>559</v>
      </c>
      <c r="C12" s="53">
        <v>0</v>
      </c>
      <c r="D12" s="53">
        <v>200</v>
      </c>
      <c r="E12" s="53">
        <v>8400</v>
      </c>
      <c r="F12" s="53">
        <v>0</v>
      </c>
      <c r="G12" s="53">
        <v>0</v>
      </c>
      <c r="H12" s="53">
        <v>8600</v>
      </c>
      <c r="I12" s="53">
        <v>0</v>
      </c>
      <c r="J12" s="46">
        <v>1</v>
      </c>
      <c r="K12" s="25">
        <f t="shared" si="0"/>
        <v>8600</v>
      </c>
      <c r="L12" s="17">
        <f>K12*'TSMC Coefficients'!$F$10/1000000</f>
        <v>2.0942490372272142</v>
      </c>
    </row>
    <row r="13" spans="1:12" x14ac:dyDescent="0.2">
      <c r="A13" s="4" t="s">
        <v>558</v>
      </c>
      <c r="B13" s="4" t="s">
        <v>560</v>
      </c>
      <c r="C13" s="53">
        <v>0</v>
      </c>
      <c r="D13" s="53">
        <v>200</v>
      </c>
      <c r="E13" s="53">
        <v>11100</v>
      </c>
      <c r="F13" s="53">
        <v>0</v>
      </c>
      <c r="G13" s="53">
        <v>0</v>
      </c>
      <c r="H13" s="53">
        <v>11300</v>
      </c>
      <c r="I13" s="53">
        <v>0</v>
      </c>
      <c r="J13" s="46">
        <v>1</v>
      </c>
      <c r="K13" s="25">
        <f t="shared" si="0"/>
        <v>11300</v>
      </c>
      <c r="L13" s="17">
        <f>K13*'TSMC Coefficients'!$F$10/1000000</f>
        <v>2.7517458279845957</v>
      </c>
    </row>
    <row r="14" spans="1:12" x14ac:dyDescent="0.2">
      <c r="A14" s="4" t="s">
        <v>561</v>
      </c>
      <c r="B14" s="4" t="s">
        <v>562</v>
      </c>
      <c r="C14" s="53">
        <v>0</v>
      </c>
      <c r="D14" s="53">
        <v>1000</v>
      </c>
      <c r="E14" s="53">
        <v>0</v>
      </c>
      <c r="F14" s="53">
        <v>0</v>
      </c>
      <c r="G14" s="53">
        <v>200</v>
      </c>
      <c r="H14" s="53">
        <v>1200</v>
      </c>
      <c r="I14" s="53">
        <v>0</v>
      </c>
      <c r="J14" s="46">
        <v>1</v>
      </c>
      <c r="K14" s="25">
        <f t="shared" si="0"/>
        <v>1200</v>
      </c>
      <c r="L14" s="17">
        <f>K14*'TSMC Coefficients'!$F$10/1000000</f>
        <v>0.29222079589216948</v>
      </c>
    </row>
    <row r="15" spans="1:12" x14ac:dyDescent="0.2">
      <c r="A15" s="4" t="s">
        <v>563</v>
      </c>
      <c r="B15" s="4" t="s">
        <v>564</v>
      </c>
      <c r="C15" s="53">
        <v>1600</v>
      </c>
      <c r="D15" s="53">
        <v>10500</v>
      </c>
      <c r="E15" s="53">
        <v>1100</v>
      </c>
      <c r="F15" s="53">
        <v>0</v>
      </c>
      <c r="G15" s="53">
        <v>200</v>
      </c>
      <c r="H15" s="53">
        <v>13400</v>
      </c>
      <c r="I15" s="53">
        <v>0</v>
      </c>
      <c r="J15" s="46">
        <v>1</v>
      </c>
      <c r="K15" s="25">
        <f t="shared" si="0"/>
        <v>13400</v>
      </c>
      <c r="L15" s="17">
        <f>K15*'TSMC Coefficients'!$F$10/1000000</f>
        <v>3.2631322207958924</v>
      </c>
    </row>
    <row r="16" spans="1:12" x14ac:dyDescent="0.2">
      <c r="A16" s="4" t="s">
        <v>563</v>
      </c>
      <c r="B16" s="4" t="s">
        <v>565</v>
      </c>
      <c r="C16" s="53">
        <v>107300</v>
      </c>
      <c r="D16" s="53">
        <v>93400</v>
      </c>
      <c r="E16" s="53">
        <v>300</v>
      </c>
      <c r="F16" s="53">
        <v>41100</v>
      </c>
      <c r="G16" s="53">
        <v>300</v>
      </c>
      <c r="H16" s="53">
        <v>242400</v>
      </c>
      <c r="I16" s="53">
        <v>0</v>
      </c>
      <c r="J16" s="46">
        <v>1</v>
      </c>
      <c r="K16" s="25">
        <f t="shared" si="0"/>
        <v>242400</v>
      </c>
      <c r="L16" s="17">
        <f>K16*'TSMC Coefficients'!$F$10/1000000</f>
        <v>59.028600770218226</v>
      </c>
    </row>
    <row r="17" spans="1:12" x14ac:dyDescent="0.2">
      <c r="A17" s="4" t="s">
        <v>563</v>
      </c>
      <c r="B17" s="4" t="s">
        <v>566</v>
      </c>
      <c r="C17" s="53">
        <v>0</v>
      </c>
      <c r="D17" s="53">
        <v>3800</v>
      </c>
      <c r="E17" s="53">
        <v>0</v>
      </c>
      <c r="F17" s="53">
        <v>0</v>
      </c>
      <c r="G17" s="53">
        <v>0</v>
      </c>
      <c r="H17" s="53">
        <v>3800</v>
      </c>
      <c r="I17" s="53">
        <v>0</v>
      </c>
      <c r="J17" s="46">
        <v>1</v>
      </c>
      <c r="K17" s="25">
        <f t="shared" si="0"/>
        <v>3800</v>
      </c>
      <c r="L17" s="17">
        <f>K17*'TSMC Coefficients'!$F$10/1000000</f>
        <v>0.92536585365853652</v>
      </c>
    </row>
    <row r="18" spans="1:12" x14ac:dyDescent="0.2">
      <c r="A18" s="4" t="s">
        <v>563</v>
      </c>
      <c r="B18" s="4" t="s">
        <v>567</v>
      </c>
      <c r="C18" s="53">
        <v>0</v>
      </c>
      <c r="D18" s="53">
        <v>3000</v>
      </c>
      <c r="E18" s="53">
        <v>0</v>
      </c>
      <c r="F18" s="53">
        <v>0</v>
      </c>
      <c r="G18" s="53">
        <v>0</v>
      </c>
      <c r="H18" s="53">
        <v>3000</v>
      </c>
      <c r="I18" s="53">
        <v>0</v>
      </c>
      <c r="J18" s="46">
        <v>1</v>
      </c>
      <c r="K18" s="25">
        <f t="shared" si="0"/>
        <v>3000</v>
      </c>
      <c r="L18" s="17">
        <f>K18*'TSMC Coefficients'!$F$10/1000000</f>
        <v>0.73055198973042357</v>
      </c>
    </row>
    <row r="19" spans="1:12" x14ac:dyDescent="0.2">
      <c r="A19" s="4" t="s">
        <v>563</v>
      </c>
      <c r="B19" s="4" t="s">
        <v>568</v>
      </c>
      <c r="C19" s="53">
        <v>0</v>
      </c>
      <c r="D19" s="53">
        <v>1700</v>
      </c>
      <c r="E19" s="53">
        <v>0</v>
      </c>
      <c r="F19" s="53">
        <v>0</v>
      </c>
      <c r="G19" s="53">
        <v>800</v>
      </c>
      <c r="H19" s="53">
        <v>2500</v>
      </c>
      <c r="I19" s="53">
        <v>0</v>
      </c>
      <c r="J19" s="46">
        <v>1</v>
      </c>
      <c r="K19" s="25">
        <f t="shared" si="0"/>
        <v>2500</v>
      </c>
      <c r="L19" s="17">
        <f>K19*'TSMC Coefficients'!$F$10/1000000</f>
        <v>0.60879332477535297</v>
      </c>
    </row>
    <row r="20" spans="1:12" x14ac:dyDescent="0.2">
      <c r="A20" s="4" t="s">
        <v>563</v>
      </c>
      <c r="B20" s="4" t="s">
        <v>569</v>
      </c>
      <c r="C20" s="53">
        <v>202000</v>
      </c>
      <c r="D20" s="53">
        <v>25000</v>
      </c>
      <c r="E20" s="53">
        <v>2200</v>
      </c>
      <c r="F20" s="53">
        <v>40000</v>
      </c>
      <c r="G20" s="53">
        <v>300</v>
      </c>
      <c r="H20" s="53">
        <v>269500</v>
      </c>
      <c r="I20" s="53">
        <v>0</v>
      </c>
      <c r="J20" s="46">
        <v>1</v>
      </c>
      <c r="K20" s="25">
        <f t="shared" si="0"/>
        <v>269500</v>
      </c>
      <c r="L20" s="17">
        <f>K20*'TSMC Coefficients'!$F$10/1000000</f>
        <v>65.627920410783048</v>
      </c>
    </row>
    <row r="21" spans="1:12" x14ac:dyDescent="0.2">
      <c r="A21" s="4" t="s">
        <v>563</v>
      </c>
      <c r="B21" s="4" t="s">
        <v>570</v>
      </c>
      <c r="C21" s="53">
        <v>4800</v>
      </c>
      <c r="D21" s="53">
        <v>6800</v>
      </c>
      <c r="E21" s="53">
        <v>0</v>
      </c>
      <c r="F21" s="53">
        <v>1200</v>
      </c>
      <c r="G21" s="53">
        <v>0</v>
      </c>
      <c r="H21" s="53">
        <v>12800</v>
      </c>
      <c r="I21" s="53">
        <v>0</v>
      </c>
      <c r="J21" s="46">
        <v>1</v>
      </c>
      <c r="K21" s="25">
        <f t="shared" si="0"/>
        <v>12800</v>
      </c>
      <c r="L21" s="17">
        <f>K21*'TSMC Coefficients'!$F$10/1000000</f>
        <v>3.1170218228498072</v>
      </c>
    </row>
    <row r="22" spans="1:12" x14ac:dyDescent="0.2">
      <c r="A22" s="4" t="s">
        <v>563</v>
      </c>
      <c r="B22" s="4" t="s">
        <v>571</v>
      </c>
      <c r="C22" s="53">
        <v>0</v>
      </c>
      <c r="D22" s="53">
        <v>2100</v>
      </c>
      <c r="E22" s="53">
        <v>0</v>
      </c>
      <c r="F22" s="53">
        <v>0</v>
      </c>
      <c r="G22" s="53">
        <v>0</v>
      </c>
      <c r="H22" s="53">
        <v>2100</v>
      </c>
      <c r="I22" s="53">
        <v>0</v>
      </c>
      <c r="J22" s="46">
        <v>1</v>
      </c>
      <c r="K22" s="25">
        <f t="shared" si="0"/>
        <v>2100</v>
      </c>
      <c r="L22" s="17">
        <f>K22*'TSMC Coefficients'!$F$10/1000000</f>
        <v>0.5113863928112965</v>
      </c>
    </row>
    <row r="23" spans="1:12" x14ac:dyDescent="0.2">
      <c r="A23" s="4" t="s">
        <v>563</v>
      </c>
      <c r="B23" s="4" t="s">
        <v>572</v>
      </c>
      <c r="C23" s="53">
        <v>94900</v>
      </c>
      <c r="D23" s="53">
        <v>90800</v>
      </c>
      <c r="E23" s="53">
        <v>0</v>
      </c>
      <c r="F23" s="53">
        <v>31700</v>
      </c>
      <c r="G23" s="53">
        <v>100</v>
      </c>
      <c r="H23" s="53">
        <v>217600</v>
      </c>
      <c r="I23" s="53">
        <v>0</v>
      </c>
      <c r="J23" s="46">
        <v>1</v>
      </c>
      <c r="K23" s="25">
        <f t="shared" si="0"/>
        <v>217600</v>
      </c>
      <c r="L23" s="17">
        <f>K23*'TSMC Coefficients'!$F$10/1000000</f>
        <v>52.98937098844673</v>
      </c>
    </row>
    <row r="24" spans="1:12" x14ac:dyDescent="0.2">
      <c r="A24" s="4" t="s">
        <v>573</v>
      </c>
      <c r="B24" s="4" t="s">
        <v>574</v>
      </c>
      <c r="C24" s="53">
        <v>0</v>
      </c>
      <c r="D24" s="53">
        <v>200</v>
      </c>
      <c r="E24" s="53">
        <v>14000</v>
      </c>
      <c r="F24" s="53">
        <v>0</v>
      </c>
      <c r="G24" s="53">
        <v>0</v>
      </c>
      <c r="H24" s="53">
        <v>14100</v>
      </c>
      <c r="I24" s="53">
        <v>0</v>
      </c>
      <c r="J24" s="46">
        <v>1</v>
      </c>
      <c r="K24" s="25">
        <f t="shared" si="0"/>
        <v>14100</v>
      </c>
      <c r="L24" s="17">
        <f>K24*'TSMC Coefficients'!$F$10/1000000</f>
        <v>3.4335943517329905</v>
      </c>
    </row>
    <row r="25" spans="1:12" ht="28" x14ac:dyDescent="0.2">
      <c r="A25" s="39" t="s">
        <v>575</v>
      </c>
      <c r="B25" s="42"/>
      <c r="C25" s="50">
        <f t="shared" ref="C25:I25" si="1">SUM(C5:C24)</f>
        <v>658700</v>
      </c>
      <c r="D25" s="50">
        <f t="shared" si="1"/>
        <v>328500</v>
      </c>
      <c r="E25" s="50">
        <f t="shared" si="1"/>
        <v>102600</v>
      </c>
      <c r="F25" s="50">
        <f t="shared" si="1"/>
        <v>176000</v>
      </c>
      <c r="G25" s="50">
        <f t="shared" si="1"/>
        <v>8100</v>
      </c>
      <c r="H25" s="50">
        <f t="shared" si="1"/>
        <v>1274100</v>
      </c>
      <c r="I25" s="50">
        <f t="shared" si="1"/>
        <v>49000</v>
      </c>
      <c r="J25" s="42"/>
      <c r="K25" s="50">
        <f>SUM(K5:K24)</f>
        <v>1323100</v>
      </c>
      <c r="L25" s="51">
        <f>SUM(L5:L24)</f>
        <v>322.1977792041078</v>
      </c>
    </row>
    <row r="26" spans="1:12" ht="28" x14ac:dyDescent="0.2">
      <c r="A26" s="3" t="s">
        <v>577</v>
      </c>
      <c r="C26" s="16">
        <v>658700</v>
      </c>
      <c r="D26" s="16">
        <v>328300</v>
      </c>
      <c r="E26" s="16">
        <v>102700</v>
      </c>
      <c r="F26" s="16">
        <v>175900</v>
      </c>
      <c r="G26" s="16">
        <v>8400</v>
      </c>
      <c r="H26" s="16">
        <v>1274000</v>
      </c>
      <c r="I26" s="16">
        <v>49000</v>
      </c>
      <c r="K26" s="16">
        <v>1323000</v>
      </c>
    </row>
    <row r="27" spans="1:12" ht="42" x14ac:dyDescent="0.2">
      <c r="A27" s="3" t="s">
        <v>594</v>
      </c>
      <c r="C27" s="52">
        <f t="shared" ref="C27:I27" si="2">C25-C26</f>
        <v>0</v>
      </c>
      <c r="D27" s="52">
        <f t="shared" si="2"/>
        <v>200</v>
      </c>
      <c r="E27" s="52">
        <f t="shared" si="2"/>
        <v>-100</v>
      </c>
      <c r="F27" s="52">
        <f t="shared" si="2"/>
        <v>100</v>
      </c>
      <c r="G27" s="52">
        <f t="shared" si="2"/>
        <v>-300</v>
      </c>
      <c r="H27" s="52">
        <f t="shared" si="2"/>
        <v>100</v>
      </c>
      <c r="I27" s="52">
        <f t="shared" si="2"/>
        <v>0</v>
      </c>
      <c r="K27" s="52">
        <f>K25-K26</f>
        <v>100</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3"/>
  <sheetViews>
    <sheetView showGridLines="0" zoomScaleNormal="100" workbookViewId="0">
      <pane ySplit="4" topLeftCell="A5" activePane="bottomLeft" state="frozen"/>
      <selection pane="bottomLeft"/>
    </sheetView>
  </sheetViews>
  <sheetFormatPr baseColWidth="10" defaultColWidth="8.6640625" defaultRowHeight="15" x14ac:dyDescent="0.2"/>
  <cols>
    <col min="1" max="1" width="10" customWidth="1"/>
    <col min="2" max="2" width="42" customWidth="1"/>
    <col min="3" max="3" width="14" customWidth="1"/>
    <col min="4" max="4" width="36" customWidth="1"/>
    <col min="5" max="6" width="44" customWidth="1"/>
  </cols>
  <sheetData>
    <row r="1" spans="1:6" ht="18" x14ac:dyDescent="0.2">
      <c r="A1" s="1" t="s">
        <v>595</v>
      </c>
    </row>
    <row r="2" spans="1:6" x14ac:dyDescent="0.2">
      <c r="A2" s="2" t="s">
        <v>596</v>
      </c>
    </row>
    <row r="4" spans="1:6" x14ac:dyDescent="0.2">
      <c r="A4" s="7" t="s">
        <v>330</v>
      </c>
      <c r="B4" s="7" t="s">
        <v>597</v>
      </c>
      <c r="C4" s="7" t="s">
        <v>598</v>
      </c>
      <c r="D4" s="7" t="s">
        <v>599</v>
      </c>
      <c r="E4" s="7" t="s">
        <v>600</v>
      </c>
      <c r="F4" s="7" t="s">
        <v>601</v>
      </c>
    </row>
    <row r="5" spans="1:6" x14ac:dyDescent="0.2">
      <c r="A5" s="4" t="s">
        <v>407</v>
      </c>
      <c r="B5" s="4" t="s">
        <v>602</v>
      </c>
      <c r="C5" s="54" t="s">
        <v>603</v>
      </c>
      <c r="D5" s="4" t="s">
        <v>604</v>
      </c>
      <c r="E5" s="4" t="s">
        <v>605</v>
      </c>
      <c r="F5" s="4" t="s">
        <v>40</v>
      </c>
    </row>
    <row r="6" spans="1:6" x14ac:dyDescent="0.2">
      <c r="A6" s="4" t="s">
        <v>407</v>
      </c>
      <c r="B6" s="4" t="s">
        <v>606</v>
      </c>
      <c r="C6" s="54" t="s">
        <v>603</v>
      </c>
      <c r="D6" s="4" t="s">
        <v>607</v>
      </c>
      <c r="E6" s="4" t="s">
        <v>608</v>
      </c>
      <c r="F6" s="4" t="s">
        <v>40</v>
      </c>
    </row>
    <row r="7" spans="1:6" x14ac:dyDescent="0.2">
      <c r="A7" s="4" t="s">
        <v>407</v>
      </c>
      <c r="B7" s="4" t="s">
        <v>609</v>
      </c>
      <c r="C7" s="55" t="s">
        <v>610</v>
      </c>
      <c r="D7" s="4" t="s">
        <v>611</v>
      </c>
      <c r="E7" s="4" t="s">
        <v>612</v>
      </c>
      <c r="F7" s="4" t="s">
        <v>613</v>
      </c>
    </row>
    <row r="8" spans="1:6" x14ac:dyDescent="0.2">
      <c r="A8" s="4" t="s">
        <v>407</v>
      </c>
      <c r="B8" s="4" t="s">
        <v>614</v>
      </c>
      <c r="C8" s="54" t="s">
        <v>603</v>
      </c>
      <c r="D8" s="4" t="s">
        <v>615</v>
      </c>
      <c r="E8" s="4" t="s">
        <v>616</v>
      </c>
      <c r="F8" s="4" t="s">
        <v>40</v>
      </c>
    </row>
    <row r="9" spans="1:6" ht="28" x14ac:dyDescent="0.2">
      <c r="A9" s="4" t="s">
        <v>407</v>
      </c>
      <c r="B9" s="4" t="s">
        <v>617</v>
      </c>
      <c r="C9" s="56" t="s">
        <v>618</v>
      </c>
      <c r="D9" s="4" t="s">
        <v>40</v>
      </c>
      <c r="E9" s="4" t="s">
        <v>619</v>
      </c>
      <c r="F9" s="4" t="s">
        <v>620</v>
      </c>
    </row>
    <row r="10" spans="1:6" x14ac:dyDescent="0.2">
      <c r="A10" s="4" t="s">
        <v>422</v>
      </c>
      <c r="B10" s="4" t="s">
        <v>621</v>
      </c>
      <c r="C10" s="54" t="s">
        <v>603</v>
      </c>
      <c r="D10" s="4" t="s">
        <v>622</v>
      </c>
      <c r="E10" s="4" t="s">
        <v>623</v>
      </c>
      <c r="F10" s="4" t="s">
        <v>40</v>
      </c>
    </row>
    <row r="11" spans="1:6" x14ac:dyDescent="0.2">
      <c r="A11" s="4" t="s">
        <v>422</v>
      </c>
      <c r="B11" s="4" t="s">
        <v>624</v>
      </c>
      <c r="C11" s="55" t="s">
        <v>610</v>
      </c>
      <c r="D11" s="4" t="s">
        <v>625</v>
      </c>
      <c r="E11" s="4" t="s">
        <v>626</v>
      </c>
      <c r="F11" s="4" t="s">
        <v>627</v>
      </c>
    </row>
    <row r="12" spans="1:6" ht="28" x14ac:dyDescent="0.2">
      <c r="A12" s="4" t="s">
        <v>422</v>
      </c>
      <c r="B12" s="4" t="s">
        <v>628</v>
      </c>
      <c r="C12" s="56" t="s">
        <v>618</v>
      </c>
      <c r="D12" s="4" t="s">
        <v>40</v>
      </c>
      <c r="E12" s="4" t="s">
        <v>629</v>
      </c>
      <c r="F12" s="4" t="s">
        <v>630</v>
      </c>
    </row>
    <row r="13" spans="1:6" x14ac:dyDescent="0.2">
      <c r="A13" s="4" t="s">
        <v>422</v>
      </c>
      <c r="B13" s="4" t="s">
        <v>631</v>
      </c>
      <c r="C13" s="56" t="s">
        <v>618</v>
      </c>
      <c r="D13" s="4" t="s">
        <v>40</v>
      </c>
      <c r="E13" s="4" t="s">
        <v>632</v>
      </c>
      <c r="F13" s="4" t="s">
        <v>40</v>
      </c>
    </row>
    <row r="14" spans="1:6" ht="28" x14ac:dyDescent="0.2">
      <c r="A14" s="4" t="s">
        <v>422</v>
      </c>
      <c r="B14" s="4" t="s">
        <v>633</v>
      </c>
      <c r="C14" s="55" t="s">
        <v>610</v>
      </c>
      <c r="D14" s="4" t="s">
        <v>634</v>
      </c>
      <c r="E14" s="4" t="s">
        <v>635</v>
      </c>
      <c r="F14" s="4" t="s">
        <v>636</v>
      </c>
    </row>
    <row r="15" spans="1:6" x14ac:dyDescent="0.2">
      <c r="A15" s="4" t="s">
        <v>441</v>
      </c>
      <c r="B15" s="4" t="s">
        <v>637</v>
      </c>
      <c r="C15" s="56" t="s">
        <v>618</v>
      </c>
      <c r="D15" s="4" t="s">
        <v>638</v>
      </c>
      <c r="E15" s="4" t="s">
        <v>639</v>
      </c>
      <c r="F15" s="4" t="s">
        <v>640</v>
      </c>
    </row>
    <row r="16" spans="1:6" ht="28" x14ac:dyDescent="0.2">
      <c r="A16" s="4" t="s">
        <v>441</v>
      </c>
      <c r="B16" s="4" t="s">
        <v>641</v>
      </c>
      <c r="C16" s="56" t="s">
        <v>618</v>
      </c>
      <c r="D16" s="4" t="s">
        <v>40</v>
      </c>
      <c r="E16" s="4" t="s">
        <v>642</v>
      </c>
      <c r="F16" s="4" t="s">
        <v>643</v>
      </c>
    </row>
    <row r="17" spans="1:6" x14ac:dyDescent="0.2">
      <c r="A17" s="4" t="s">
        <v>441</v>
      </c>
      <c r="B17" s="4" t="s">
        <v>644</v>
      </c>
      <c r="C17" s="56" t="s">
        <v>618</v>
      </c>
      <c r="D17" s="4" t="s">
        <v>40</v>
      </c>
      <c r="E17" s="4" t="s">
        <v>645</v>
      </c>
      <c r="F17" s="4" t="s">
        <v>646</v>
      </c>
    </row>
    <row r="18" spans="1:6" x14ac:dyDescent="0.2">
      <c r="A18" s="4" t="s">
        <v>441</v>
      </c>
      <c r="B18" s="4" t="s">
        <v>647</v>
      </c>
      <c r="C18" s="55" t="s">
        <v>610</v>
      </c>
      <c r="D18" s="4" t="s">
        <v>648</v>
      </c>
      <c r="E18" s="4" t="s">
        <v>649</v>
      </c>
      <c r="F18" s="4" t="s">
        <v>650</v>
      </c>
    </row>
    <row r="20" spans="1:6" ht="28" x14ac:dyDescent="0.2">
      <c r="A20" s="3" t="s">
        <v>651</v>
      </c>
      <c r="B20" s="3" t="s">
        <v>652</v>
      </c>
      <c r="C20" s="57">
        <f>COUNTIF(C5:C18,"Disclosed")/COUNTA(C5:C18)</f>
        <v>0.2857142857142857</v>
      </c>
    </row>
    <row r="21" spans="1:6" x14ac:dyDescent="0.2">
      <c r="B21" s="4" t="s">
        <v>653</v>
      </c>
      <c r="C21" s="58">
        <f>COUNTIFS(A5:A18,"Carbon",C5:C18,"Disclosed")/COUNTIF(A5:A18,"Carbon")</f>
        <v>0.6</v>
      </c>
    </row>
    <row r="22" spans="1:6" x14ac:dyDescent="0.2">
      <c r="B22" s="4" t="s">
        <v>654</v>
      </c>
      <c r="C22" s="58">
        <f>COUNTIFS(A5:A18,"Water",C5:C18,"Disclosed")/COUNTIF(A5:A18,"Water")</f>
        <v>0.2</v>
      </c>
    </row>
    <row r="23" spans="1:6" x14ac:dyDescent="0.2">
      <c r="B23" s="4" t="s">
        <v>655</v>
      </c>
      <c r="C23" s="58">
        <f>COUNTIFS(A5:A18,"OHS",C5:C18,"Disclosed")/COUNTIF(A5:A18,"OHS")</f>
        <v>0</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3ded8b1b-070d-4629-82e4-c0b019f46057}" enabled="0" method="" siteId="{3ded8b1b-070d-4629-82e4-c0b019f46057}" removed="1"/>
</clbl:labelLis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Carbon</vt:lpstr>
      <vt:lpstr>Water</vt:lpstr>
      <vt:lpstr>OHS</vt:lpstr>
      <vt:lpstr>TSMC Coefficients</vt:lpstr>
      <vt:lpstr>Intel Monetization</vt:lpstr>
      <vt:lpstr>TSMC &amp; Intel Trends</vt:lpstr>
      <vt:lpstr>Intel Water by Site</vt:lpstr>
      <vt:lpstr>Intel GHG by Site</vt:lpstr>
      <vt:lpstr>Data Gaps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Brennan Baker</cp:lastModifiedBy>
  <cp:revision>0</cp:revision>
  <dcterms:created xsi:type="dcterms:W3CDTF">2026-10-02T15:28:26Z</dcterms:created>
  <dcterms:modified xsi:type="dcterms:W3CDTF">2026-10-02T15:47:37Z</dcterms:modified>
  <dc:language>en-US</dc:language>
</cp:coreProperties>
</file>